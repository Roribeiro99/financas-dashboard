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RodrigoRibeiroLOYALT\Desktop\Rodrigo Ribeiro\"/>
    </mc:Choice>
  </mc:AlternateContent>
  <xr:revisionPtr revIDLastSave="0" documentId="8_{6B9A7CC5-A38F-47A0-A2F1-C03285D8700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FO AÇÕES" sheetId="8" r:id="rId1"/>
    <sheet name="Planilha1" sheetId="19" r:id="rId2"/>
    <sheet name="RESUMO" sheetId="16" r:id="rId3"/>
    <sheet name="planejamento financeiro" sheetId="18" r:id="rId4"/>
    <sheet name="Base de dados" sheetId="14" r:id="rId5"/>
    <sheet name="Previsão Investimento" sheetId="12" r:id="rId6"/>
  </sheets>
  <definedNames>
    <definedName name="_xlnm._FilterDatabase" localSheetId="5" hidden="1">'Previsão Investimento'!$F$8:$O$186</definedName>
  </definedNames>
  <calcPr calcId="191028"/>
  <customWorkbookViews>
    <customWorkbookView name="Filtro 1" guid="{7062460D-0593-41B2-BFF2-8F1CB226288A}" maximized="1" windowWidth="0" windowHeight="0" activeSheetId="0"/>
  </customWorkbookViews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3" i="14" l="1"/>
  <c r="M443" i="14"/>
  <c r="L443" i="14"/>
  <c r="J443" i="14"/>
  <c r="N442" i="14"/>
  <c r="M442" i="14"/>
  <c r="L442" i="14"/>
  <c r="J442" i="14"/>
  <c r="N441" i="14"/>
  <c r="M441" i="14"/>
  <c r="L441" i="14"/>
  <c r="J441" i="14"/>
  <c r="N440" i="14"/>
  <c r="M440" i="14"/>
  <c r="L440" i="14"/>
  <c r="J440" i="14"/>
  <c r="N439" i="14"/>
  <c r="M439" i="14"/>
  <c r="L439" i="14"/>
  <c r="J439" i="14"/>
  <c r="N438" i="14"/>
  <c r="M438" i="14"/>
  <c r="L438" i="14"/>
  <c r="J438" i="14"/>
  <c r="O23" i="14"/>
  <c r="P23" i="14" s="1"/>
  <c r="O24" i="14"/>
  <c r="P24" i="14" s="1"/>
  <c r="O27" i="14"/>
  <c r="P27" i="14" s="1"/>
  <c r="O37" i="14"/>
  <c r="P37" i="14" s="1"/>
  <c r="O45" i="14"/>
  <c r="P45" i="14" s="1"/>
  <c r="O48" i="14"/>
  <c r="P48" i="14" s="1"/>
  <c r="O66" i="14"/>
  <c r="P66" i="14" s="1"/>
  <c r="O83" i="14"/>
  <c r="P83" i="14" s="1"/>
  <c r="O95" i="14"/>
  <c r="P95" i="14" s="1"/>
  <c r="O96" i="14"/>
  <c r="P96" i="14" s="1"/>
  <c r="O97" i="14"/>
  <c r="P97" i="14" s="1"/>
  <c r="O98" i="14"/>
  <c r="P98" i="14" s="1"/>
  <c r="O100" i="14"/>
  <c r="P100" i="14" s="1"/>
  <c r="O101" i="14"/>
  <c r="P101" i="14" s="1"/>
  <c r="O102" i="14"/>
  <c r="P102" i="14" s="1"/>
  <c r="O103" i="14"/>
  <c r="P103" i="14" s="1"/>
  <c r="O104" i="14"/>
  <c r="P104" i="14" s="1"/>
  <c r="O105" i="14"/>
  <c r="P105" i="14" s="1"/>
  <c r="O106" i="14"/>
  <c r="P106" i="14" s="1"/>
  <c r="O107" i="14"/>
  <c r="P107" i="14" s="1"/>
  <c r="O108" i="14"/>
  <c r="P108" i="14" s="1"/>
  <c r="O109" i="14"/>
  <c r="P109" i="14" s="1"/>
  <c r="O110" i="14"/>
  <c r="P110" i="14" s="1"/>
  <c r="O111" i="14"/>
  <c r="P111" i="14" s="1"/>
  <c r="O112" i="14"/>
  <c r="P112" i="14" s="1"/>
  <c r="O113" i="14"/>
  <c r="P113" i="14" s="1"/>
  <c r="O114" i="14"/>
  <c r="P114" i="14" s="1"/>
  <c r="O115" i="14"/>
  <c r="P115" i="14" s="1"/>
  <c r="O116" i="14"/>
  <c r="P116" i="14" s="1"/>
  <c r="O117" i="14"/>
  <c r="P117" i="14" s="1"/>
  <c r="O118" i="14"/>
  <c r="P118" i="14" s="1"/>
  <c r="O119" i="14"/>
  <c r="P119" i="14" s="1"/>
  <c r="O120" i="14"/>
  <c r="P120" i="14" s="1"/>
  <c r="O121" i="14"/>
  <c r="P121" i="14" s="1"/>
  <c r="O122" i="14"/>
  <c r="P122" i="14" s="1"/>
  <c r="O123" i="14"/>
  <c r="P123" i="14" s="1"/>
  <c r="O124" i="14"/>
  <c r="P124" i="14" s="1"/>
  <c r="O125" i="14"/>
  <c r="P125" i="14" s="1"/>
  <c r="O126" i="14"/>
  <c r="P126" i="14" s="1"/>
  <c r="O127" i="14"/>
  <c r="P127" i="14" s="1"/>
  <c r="O128" i="14"/>
  <c r="P128" i="14" s="1"/>
  <c r="O129" i="14"/>
  <c r="P129" i="14" s="1"/>
  <c r="O130" i="14"/>
  <c r="P130" i="14" s="1"/>
  <c r="O131" i="14"/>
  <c r="P131" i="14" s="1"/>
  <c r="O132" i="14"/>
  <c r="P132" i="14" s="1"/>
  <c r="O133" i="14"/>
  <c r="P133" i="14" s="1"/>
  <c r="O134" i="14"/>
  <c r="P134" i="14" s="1"/>
  <c r="O135" i="14"/>
  <c r="P135" i="14" s="1"/>
  <c r="O136" i="14"/>
  <c r="P136" i="14" s="1"/>
  <c r="O137" i="14"/>
  <c r="P137" i="14" s="1"/>
  <c r="O138" i="14"/>
  <c r="P138" i="14" s="1"/>
  <c r="O139" i="14"/>
  <c r="P139" i="14" s="1"/>
  <c r="O140" i="14"/>
  <c r="P140" i="14" s="1"/>
  <c r="O141" i="14"/>
  <c r="P141" i="14" s="1"/>
  <c r="O142" i="14"/>
  <c r="P142" i="14" s="1"/>
  <c r="O143" i="14"/>
  <c r="P143" i="14" s="1"/>
  <c r="O144" i="14"/>
  <c r="P144" i="14" s="1"/>
  <c r="O145" i="14"/>
  <c r="P145" i="14" s="1"/>
  <c r="O146" i="14"/>
  <c r="P146" i="14" s="1"/>
  <c r="O147" i="14"/>
  <c r="P147" i="14" s="1"/>
  <c r="O148" i="14"/>
  <c r="P148" i="14" s="1"/>
  <c r="O149" i="14"/>
  <c r="P149" i="14" s="1"/>
  <c r="O150" i="14"/>
  <c r="P150" i="14" s="1"/>
  <c r="O151" i="14"/>
  <c r="P151" i="14" s="1"/>
  <c r="O152" i="14"/>
  <c r="P152" i="14" s="1"/>
  <c r="O153" i="14"/>
  <c r="P153" i="14" s="1"/>
  <c r="O154" i="14"/>
  <c r="P154" i="14" s="1"/>
  <c r="O155" i="14"/>
  <c r="P155" i="14" s="1"/>
  <c r="O156" i="14"/>
  <c r="P156" i="14" s="1"/>
  <c r="O157" i="14"/>
  <c r="P157" i="14" s="1"/>
  <c r="O158" i="14"/>
  <c r="P158" i="14" s="1"/>
  <c r="O159" i="14"/>
  <c r="P159" i="14" s="1"/>
  <c r="O160" i="14"/>
  <c r="P160" i="14" s="1"/>
  <c r="O161" i="14"/>
  <c r="P161" i="14" s="1"/>
  <c r="O162" i="14"/>
  <c r="P162" i="14" s="1"/>
  <c r="O163" i="14"/>
  <c r="P163" i="14" s="1"/>
  <c r="O164" i="14"/>
  <c r="P164" i="14" s="1"/>
  <c r="O165" i="14"/>
  <c r="P165" i="14" s="1"/>
  <c r="O166" i="14"/>
  <c r="P166" i="14" s="1"/>
  <c r="O167" i="14"/>
  <c r="P167" i="14" s="1"/>
  <c r="O168" i="14"/>
  <c r="P168" i="14" s="1"/>
  <c r="O169" i="14"/>
  <c r="P169" i="14" s="1"/>
  <c r="O170" i="14"/>
  <c r="P170" i="14" s="1"/>
  <c r="O171" i="14"/>
  <c r="P171" i="14" s="1"/>
  <c r="O172" i="14"/>
  <c r="P172" i="14" s="1"/>
  <c r="O173" i="14"/>
  <c r="P173" i="14" s="1"/>
  <c r="O174" i="14"/>
  <c r="P174" i="14" s="1"/>
  <c r="O175" i="14"/>
  <c r="P175" i="14" s="1"/>
  <c r="O176" i="14"/>
  <c r="P176" i="14" s="1"/>
  <c r="O177" i="14"/>
  <c r="P177" i="14" s="1"/>
  <c r="O178" i="14"/>
  <c r="P178" i="14" s="1"/>
  <c r="O179" i="14"/>
  <c r="P179" i="14" s="1"/>
  <c r="O180" i="14"/>
  <c r="P180" i="14" s="1"/>
  <c r="O181" i="14"/>
  <c r="P181" i="14" s="1"/>
  <c r="O182" i="14"/>
  <c r="P182" i="14" s="1"/>
  <c r="O183" i="14"/>
  <c r="P183" i="14" s="1"/>
  <c r="O184" i="14"/>
  <c r="P184" i="14" s="1"/>
  <c r="O185" i="14"/>
  <c r="P185" i="14" s="1"/>
  <c r="O186" i="14"/>
  <c r="P186" i="14" s="1"/>
  <c r="O187" i="14"/>
  <c r="P187" i="14" s="1"/>
  <c r="O188" i="14"/>
  <c r="P188" i="14" s="1"/>
  <c r="O189" i="14"/>
  <c r="P189" i="14" s="1"/>
  <c r="O190" i="14"/>
  <c r="P190" i="14" s="1"/>
  <c r="O191" i="14"/>
  <c r="P191" i="14" s="1"/>
  <c r="O192" i="14"/>
  <c r="P192" i="14" s="1"/>
  <c r="O193" i="14"/>
  <c r="P193" i="14" s="1"/>
  <c r="O194" i="14"/>
  <c r="P194" i="14" s="1"/>
  <c r="O195" i="14"/>
  <c r="P195" i="14" s="1"/>
  <c r="O196" i="14"/>
  <c r="P196" i="14" s="1"/>
  <c r="O199" i="14"/>
  <c r="P199" i="14" s="1"/>
  <c r="O200" i="14"/>
  <c r="P200" i="14" s="1"/>
  <c r="O201" i="14"/>
  <c r="P201" i="14" s="1"/>
  <c r="O202" i="14"/>
  <c r="P202" i="14" s="1"/>
  <c r="O203" i="14"/>
  <c r="P203" i="14" s="1"/>
  <c r="O204" i="14"/>
  <c r="P204" i="14" s="1"/>
  <c r="O212" i="14"/>
  <c r="P212" i="14" s="1"/>
  <c r="O213" i="14"/>
  <c r="P213" i="14" s="1"/>
  <c r="O214" i="14"/>
  <c r="P214" i="14" s="1"/>
  <c r="O215" i="14"/>
  <c r="P215" i="14" s="1"/>
  <c r="O216" i="14"/>
  <c r="P216" i="14" s="1"/>
  <c r="O217" i="14"/>
  <c r="P217" i="14" s="1"/>
  <c r="O218" i="14"/>
  <c r="P218" i="14" s="1"/>
  <c r="O219" i="14"/>
  <c r="P219" i="14" s="1"/>
  <c r="O220" i="14"/>
  <c r="P220" i="14" s="1"/>
  <c r="O221" i="14"/>
  <c r="P221" i="14" s="1"/>
  <c r="O222" i="14"/>
  <c r="P222" i="14" s="1"/>
  <c r="O223" i="14"/>
  <c r="P223" i="14" s="1"/>
  <c r="O224" i="14"/>
  <c r="P224" i="14" s="1"/>
  <c r="O225" i="14"/>
  <c r="P225" i="14" s="1"/>
  <c r="O226" i="14"/>
  <c r="P226" i="14" s="1"/>
  <c r="O227" i="14"/>
  <c r="P227" i="14" s="1"/>
  <c r="O228" i="14"/>
  <c r="P228" i="14" s="1"/>
  <c r="O229" i="14"/>
  <c r="P229" i="14" s="1"/>
  <c r="O230" i="14"/>
  <c r="P230" i="14" s="1"/>
  <c r="O231" i="14"/>
  <c r="P231" i="14" s="1"/>
  <c r="O232" i="14"/>
  <c r="P232" i="14" s="1"/>
  <c r="O233" i="14"/>
  <c r="P233" i="14" s="1"/>
  <c r="O234" i="14"/>
  <c r="P234" i="14" s="1"/>
  <c r="O235" i="14"/>
  <c r="P235" i="14" s="1"/>
  <c r="O236" i="14"/>
  <c r="P236" i="14" s="1"/>
  <c r="O237" i="14"/>
  <c r="P237" i="14" s="1"/>
  <c r="O238" i="14"/>
  <c r="P238" i="14" s="1"/>
  <c r="O239" i="14"/>
  <c r="P239" i="14" s="1"/>
  <c r="O240" i="14"/>
  <c r="P240" i="14" s="1"/>
  <c r="O241" i="14"/>
  <c r="P241" i="14" s="1"/>
  <c r="O242" i="14"/>
  <c r="P242" i="14" s="1"/>
  <c r="O243" i="14"/>
  <c r="P243" i="14" s="1"/>
  <c r="O244" i="14"/>
  <c r="P244" i="14" s="1"/>
  <c r="O245" i="14"/>
  <c r="P245" i="14" s="1"/>
  <c r="O246" i="14"/>
  <c r="P246" i="14" s="1"/>
  <c r="O247" i="14"/>
  <c r="P247" i="14" s="1"/>
  <c r="O248" i="14"/>
  <c r="P248" i="14" s="1"/>
  <c r="O249" i="14"/>
  <c r="P249" i="14" s="1"/>
  <c r="O250" i="14"/>
  <c r="P250" i="14" s="1"/>
  <c r="O251" i="14"/>
  <c r="P251" i="14" s="1"/>
  <c r="O252" i="14"/>
  <c r="P252" i="14" s="1"/>
  <c r="O253" i="14"/>
  <c r="P253" i="14" s="1"/>
  <c r="O254" i="14"/>
  <c r="P254" i="14" s="1"/>
  <c r="O255" i="14"/>
  <c r="P255" i="14" s="1"/>
  <c r="O256" i="14"/>
  <c r="P256" i="14" s="1"/>
  <c r="O257" i="14"/>
  <c r="P257" i="14" s="1"/>
  <c r="O258" i="14"/>
  <c r="P258" i="14" s="1"/>
  <c r="O259" i="14"/>
  <c r="P259" i="14" s="1"/>
  <c r="O260" i="14"/>
  <c r="P260" i="14" s="1"/>
  <c r="O261" i="14"/>
  <c r="P261" i="14" s="1"/>
  <c r="O262" i="14"/>
  <c r="P262" i="14" s="1"/>
  <c r="O263" i="14"/>
  <c r="P263" i="14" s="1"/>
  <c r="O264" i="14"/>
  <c r="P264" i="14" s="1"/>
  <c r="O265" i="14"/>
  <c r="P265" i="14" s="1"/>
  <c r="O266" i="14"/>
  <c r="P266" i="14" s="1"/>
  <c r="O267" i="14"/>
  <c r="P267" i="14" s="1"/>
  <c r="O268" i="14"/>
  <c r="P268" i="14" s="1"/>
  <c r="O270" i="14"/>
  <c r="P270" i="14" s="1"/>
  <c r="O271" i="14"/>
  <c r="P271" i="14" s="1"/>
  <c r="O272" i="14"/>
  <c r="P272" i="14" s="1"/>
  <c r="O273" i="14"/>
  <c r="P273" i="14" s="1"/>
  <c r="O274" i="14"/>
  <c r="P274" i="14" s="1"/>
  <c r="O275" i="14"/>
  <c r="P275" i="14" s="1"/>
  <c r="O276" i="14"/>
  <c r="P276" i="14" s="1"/>
  <c r="O277" i="14"/>
  <c r="P277" i="14" s="1"/>
  <c r="O278" i="14"/>
  <c r="P278" i="14" s="1"/>
  <c r="O279" i="14"/>
  <c r="P279" i="14" s="1"/>
  <c r="O280" i="14"/>
  <c r="P280" i="14" s="1"/>
  <c r="O281" i="14"/>
  <c r="P281" i="14" s="1"/>
  <c r="O282" i="14"/>
  <c r="P282" i="14" s="1"/>
  <c r="O283" i="14"/>
  <c r="P283" i="14" s="1"/>
  <c r="O284" i="14"/>
  <c r="P284" i="14" s="1"/>
  <c r="O285" i="14"/>
  <c r="P285" i="14" s="1"/>
  <c r="O286" i="14"/>
  <c r="P286" i="14" s="1"/>
  <c r="O287" i="14"/>
  <c r="P287" i="14" s="1"/>
  <c r="O288" i="14"/>
  <c r="P288" i="14" s="1"/>
  <c r="O289" i="14"/>
  <c r="P289" i="14" s="1"/>
  <c r="O290" i="14"/>
  <c r="P290" i="14" s="1"/>
  <c r="O291" i="14"/>
  <c r="P291" i="14" s="1"/>
  <c r="O292" i="14"/>
  <c r="P292" i="14" s="1"/>
  <c r="O293" i="14"/>
  <c r="P293" i="14" s="1"/>
  <c r="O294" i="14"/>
  <c r="P294" i="14" s="1"/>
  <c r="O295" i="14"/>
  <c r="P295" i="14" s="1"/>
  <c r="O296" i="14"/>
  <c r="P296" i="14" s="1"/>
  <c r="O297" i="14"/>
  <c r="P297" i="14" s="1"/>
  <c r="O298" i="14"/>
  <c r="P298" i="14" s="1"/>
  <c r="O299" i="14"/>
  <c r="P299" i="14" s="1"/>
  <c r="O300" i="14"/>
  <c r="P300" i="14" s="1"/>
  <c r="O301" i="14"/>
  <c r="P301" i="14" s="1"/>
  <c r="O302" i="14"/>
  <c r="P302" i="14" s="1"/>
  <c r="O303" i="14"/>
  <c r="P303" i="14" s="1"/>
  <c r="O304" i="14"/>
  <c r="P304" i="14" s="1"/>
  <c r="O305" i="14"/>
  <c r="P305" i="14" s="1"/>
  <c r="O306" i="14"/>
  <c r="P306" i="14" s="1"/>
  <c r="O307" i="14"/>
  <c r="P307" i="14" s="1"/>
  <c r="O308" i="14"/>
  <c r="P308" i="14" s="1"/>
  <c r="O309" i="14"/>
  <c r="P309" i="14" s="1"/>
  <c r="O310" i="14"/>
  <c r="P310" i="14" s="1"/>
  <c r="O311" i="14"/>
  <c r="P311" i="14" s="1"/>
  <c r="O312" i="14"/>
  <c r="P312" i="14" s="1"/>
  <c r="O313" i="14"/>
  <c r="P313" i="14" s="1"/>
  <c r="O314" i="14"/>
  <c r="P314" i="14" s="1"/>
  <c r="O315" i="14"/>
  <c r="P315" i="14" s="1"/>
  <c r="O316" i="14"/>
  <c r="P316" i="14" s="1"/>
  <c r="O317" i="14"/>
  <c r="P317" i="14" s="1"/>
  <c r="O318" i="14"/>
  <c r="P318" i="14" s="1"/>
  <c r="O319" i="14"/>
  <c r="P319" i="14" s="1"/>
  <c r="O320" i="14"/>
  <c r="P320" i="14" s="1"/>
  <c r="O321" i="14"/>
  <c r="P321" i="14" s="1"/>
  <c r="O322" i="14"/>
  <c r="P322" i="14" s="1"/>
  <c r="O323" i="14"/>
  <c r="P323" i="14" s="1"/>
  <c r="O324" i="14"/>
  <c r="P324" i="14" s="1"/>
  <c r="O325" i="14"/>
  <c r="P325" i="14" s="1"/>
  <c r="O326" i="14"/>
  <c r="P326" i="14" s="1"/>
  <c r="O327" i="14"/>
  <c r="P327" i="14" s="1"/>
  <c r="O328" i="14"/>
  <c r="P328" i="14" s="1"/>
  <c r="O329" i="14"/>
  <c r="P329" i="14" s="1"/>
  <c r="O330" i="14"/>
  <c r="P330" i="14" s="1"/>
  <c r="O331" i="14"/>
  <c r="P331" i="14" s="1"/>
  <c r="O332" i="14"/>
  <c r="P332" i="14" s="1"/>
  <c r="O333" i="14"/>
  <c r="P333" i="14" s="1"/>
  <c r="O334" i="14"/>
  <c r="P334" i="14" s="1"/>
  <c r="O335" i="14"/>
  <c r="P335" i="14" s="1"/>
  <c r="O336" i="14"/>
  <c r="P336" i="14" s="1"/>
  <c r="O337" i="14"/>
  <c r="P337" i="14" s="1"/>
  <c r="O338" i="14"/>
  <c r="P338" i="14" s="1"/>
  <c r="O339" i="14"/>
  <c r="P339" i="14" s="1"/>
  <c r="O340" i="14"/>
  <c r="P340" i="14" s="1"/>
  <c r="O341" i="14"/>
  <c r="P341" i="14" s="1"/>
  <c r="O342" i="14"/>
  <c r="P342" i="14" s="1"/>
  <c r="O343" i="14"/>
  <c r="P343" i="14" s="1"/>
  <c r="O345" i="14"/>
  <c r="P345" i="14" s="1"/>
  <c r="O346" i="14"/>
  <c r="P346" i="14" s="1"/>
  <c r="O347" i="14"/>
  <c r="P347" i="14" s="1"/>
  <c r="O348" i="14"/>
  <c r="P348" i="14" s="1"/>
  <c r="O349" i="14"/>
  <c r="P349" i="14" s="1"/>
  <c r="O350" i="14"/>
  <c r="P350" i="14" s="1"/>
  <c r="O351" i="14"/>
  <c r="P351" i="14" s="1"/>
  <c r="O353" i="14"/>
  <c r="P353" i="14" s="1"/>
  <c r="O354" i="14"/>
  <c r="P354" i="14" s="1"/>
  <c r="O355" i="14"/>
  <c r="P355" i="14" s="1"/>
  <c r="O356" i="14"/>
  <c r="P356" i="14" s="1"/>
  <c r="O357" i="14"/>
  <c r="P357" i="14" s="1"/>
  <c r="O358" i="14"/>
  <c r="P358" i="14" s="1"/>
  <c r="O359" i="14"/>
  <c r="P359" i="14" s="1"/>
  <c r="O360" i="14"/>
  <c r="P360" i="14" s="1"/>
  <c r="O361" i="14"/>
  <c r="P361" i="14" s="1"/>
  <c r="O362" i="14"/>
  <c r="P362" i="14" s="1"/>
  <c r="O363" i="14"/>
  <c r="P363" i="14" s="1"/>
  <c r="O364" i="14"/>
  <c r="P364" i="14" s="1"/>
  <c r="O365" i="14"/>
  <c r="P365" i="14" s="1"/>
  <c r="O366" i="14"/>
  <c r="P366" i="14" s="1"/>
  <c r="O367" i="14"/>
  <c r="P367" i="14" s="1"/>
  <c r="O368" i="14"/>
  <c r="P368" i="14" s="1"/>
  <c r="O369" i="14"/>
  <c r="P369" i="14" s="1"/>
  <c r="O370" i="14"/>
  <c r="P370" i="14" s="1"/>
  <c r="O371" i="14"/>
  <c r="P371" i="14" s="1"/>
  <c r="O372" i="14"/>
  <c r="P372" i="14" s="1"/>
  <c r="O373" i="14"/>
  <c r="P373" i="14" s="1"/>
  <c r="O374" i="14"/>
  <c r="P374" i="14" s="1"/>
  <c r="O375" i="14"/>
  <c r="P375" i="14" s="1"/>
  <c r="O376" i="14"/>
  <c r="P376" i="14" s="1"/>
  <c r="O377" i="14"/>
  <c r="P377" i="14" s="1"/>
  <c r="O378" i="14"/>
  <c r="P378" i="14" s="1"/>
  <c r="O379" i="14"/>
  <c r="P379" i="14" s="1"/>
  <c r="O380" i="14"/>
  <c r="P380" i="14" s="1"/>
  <c r="O381" i="14"/>
  <c r="P381" i="14" s="1"/>
  <c r="O382" i="14"/>
  <c r="P382" i="14" s="1"/>
  <c r="O383" i="14"/>
  <c r="P383" i="14" s="1"/>
  <c r="O384" i="14"/>
  <c r="P384" i="14" s="1"/>
  <c r="O385" i="14"/>
  <c r="P385" i="14" s="1"/>
  <c r="O386" i="14"/>
  <c r="P386" i="14" s="1"/>
  <c r="O387" i="14"/>
  <c r="P387" i="14" s="1"/>
  <c r="O388" i="14"/>
  <c r="P388" i="14" s="1"/>
  <c r="O389" i="14"/>
  <c r="P389" i="14" s="1"/>
  <c r="O390" i="14"/>
  <c r="P390" i="14" s="1"/>
  <c r="O391" i="14"/>
  <c r="P391" i="14" s="1"/>
  <c r="O392" i="14"/>
  <c r="P392" i="14" s="1"/>
  <c r="O393" i="14"/>
  <c r="P393" i="14" s="1"/>
  <c r="O394" i="14"/>
  <c r="P394" i="14" s="1"/>
  <c r="O395" i="14"/>
  <c r="P395" i="14" s="1"/>
  <c r="O396" i="14"/>
  <c r="P396" i="14" s="1"/>
  <c r="O397" i="14"/>
  <c r="P397" i="14" s="1"/>
  <c r="O398" i="14"/>
  <c r="P398" i="14" s="1"/>
  <c r="O399" i="14"/>
  <c r="P399" i="14" s="1"/>
  <c r="O400" i="14"/>
  <c r="P400" i="14" s="1"/>
  <c r="O401" i="14"/>
  <c r="P401" i="14" s="1"/>
  <c r="O402" i="14"/>
  <c r="P402" i="14" s="1"/>
  <c r="O403" i="14"/>
  <c r="P403" i="14" s="1"/>
  <c r="O404" i="14"/>
  <c r="P404" i="14" s="1"/>
  <c r="O405" i="14"/>
  <c r="P405" i="14" s="1"/>
  <c r="O406" i="14"/>
  <c r="P406" i="14" s="1"/>
  <c r="O407" i="14"/>
  <c r="P407" i="14" s="1"/>
  <c r="O408" i="14"/>
  <c r="P408" i="14" s="1"/>
  <c r="O409" i="14"/>
  <c r="P409" i="14" s="1"/>
  <c r="O410" i="14"/>
  <c r="P410" i="14" s="1"/>
  <c r="O411" i="14"/>
  <c r="P411" i="14" s="1"/>
  <c r="O412" i="14"/>
  <c r="P412" i="14" s="1"/>
  <c r="O413" i="14"/>
  <c r="P413" i="14" s="1"/>
  <c r="O414" i="14"/>
  <c r="P414" i="14" s="1"/>
  <c r="O415" i="14"/>
  <c r="P415" i="14" s="1"/>
  <c r="O416" i="14"/>
  <c r="P416" i="14" s="1"/>
  <c r="O417" i="14"/>
  <c r="P417" i="14" s="1"/>
  <c r="O418" i="14"/>
  <c r="P418" i="14" s="1"/>
  <c r="O419" i="14"/>
  <c r="P419" i="14" s="1"/>
  <c r="O420" i="14"/>
  <c r="P420" i="14" s="1"/>
  <c r="O421" i="14"/>
  <c r="P421" i="14" s="1"/>
  <c r="O422" i="14"/>
  <c r="P422" i="14" s="1"/>
  <c r="O423" i="14"/>
  <c r="P423" i="14" s="1"/>
  <c r="O434" i="14"/>
  <c r="P434" i="14" s="1"/>
  <c r="O437" i="14"/>
  <c r="P437" i="14" s="1"/>
  <c r="J437" i="14"/>
  <c r="L437" i="14"/>
  <c r="M437" i="14"/>
  <c r="N437" i="14"/>
  <c r="J431" i="14"/>
  <c r="O431" i="14" s="1"/>
  <c r="P431" i="14" s="1"/>
  <c r="J432" i="14"/>
  <c r="O432" i="14" s="1"/>
  <c r="P432" i="14" s="1"/>
  <c r="J433" i="14"/>
  <c r="O433" i="14" s="1"/>
  <c r="P433" i="14" s="1"/>
  <c r="J434" i="14"/>
  <c r="J435" i="14"/>
  <c r="O435" i="14" s="1"/>
  <c r="P435" i="14" s="1"/>
  <c r="J436" i="14"/>
  <c r="O436" i="14" s="1"/>
  <c r="P436" i="14" s="1"/>
  <c r="L431" i="14"/>
  <c r="L432" i="14"/>
  <c r="L433" i="14"/>
  <c r="L434" i="14"/>
  <c r="L435" i="14"/>
  <c r="L436" i="14"/>
  <c r="M431" i="14"/>
  <c r="M432" i="14"/>
  <c r="M433" i="14"/>
  <c r="M434" i="14"/>
  <c r="M435" i="14"/>
  <c r="M436" i="14"/>
  <c r="N431" i="14"/>
  <c r="N432" i="14"/>
  <c r="N433" i="14"/>
  <c r="N434" i="14"/>
  <c r="N435" i="14"/>
  <c r="N436" i="14"/>
  <c r="L430" i="14"/>
  <c r="M430" i="14"/>
  <c r="N430" i="14"/>
  <c r="J430" i="14"/>
  <c r="O430" i="14" s="1"/>
  <c r="P430" i="14" s="1"/>
  <c r="L429" i="14"/>
  <c r="M429" i="14"/>
  <c r="N429" i="14"/>
  <c r="J429" i="14"/>
  <c r="O429" i="14" s="1"/>
  <c r="P429" i="14" s="1"/>
  <c r="L428" i="14"/>
  <c r="M428" i="14"/>
  <c r="N428" i="14"/>
  <c r="J428" i="14"/>
  <c r="O428" i="14" s="1"/>
  <c r="P428" i="14" s="1"/>
  <c r="L427" i="14"/>
  <c r="M427" i="14"/>
  <c r="N427" i="14"/>
  <c r="J427" i="14"/>
  <c r="O427" i="14" s="1"/>
  <c r="P427" i="14" s="1"/>
  <c r="L426" i="14"/>
  <c r="M426" i="14"/>
  <c r="N426" i="14"/>
  <c r="J426" i="14"/>
  <c r="O426" i="14" s="1"/>
  <c r="P426" i="14" s="1"/>
  <c r="L425" i="14"/>
  <c r="M425" i="14"/>
  <c r="N425" i="14"/>
  <c r="J425" i="14"/>
  <c r="O425" i="14" s="1"/>
  <c r="P425" i="14" s="1"/>
  <c r="L424" i="14"/>
  <c r="M424" i="14"/>
  <c r="N424" i="14"/>
  <c r="J424" i="14"/>
  <c r="O424" i="14" s="1"/>
  <c r="P424" i="14" s="1"/>
  <c r="E48" i="18"/>
  <c r="F48" i="18"/>
  <c r="J48" i="14"/>
  <c r="L48" i="14"/>
  <c r="L66" i="14"/>
  <c r="L83" i="14"/>
  <c r="L98" i="14"/>
  <c r="L113" i="14"/>
  <c r="L128" i="14"/>
  <c r="L141" i="14"/>
  <c r="L156" i="14"/>
  <c r="L171" i="14"/>
  <c r="L184" i="14"/>
  <c r="L199" i="14"/>
  <c r="L212" i="14"/>
  <c r="L227" i="14"/>
  <c r="L242" i="14"/>
  <c r="L249" i="14"/>
  <c r="L256" i="14"/>
  <c r="L263" i="14"/>
  <c r="L270" i="14"/>
  <c r="L277" i="14"/>
  <c r="L284" i="14"/>
  <c r="L291" i="14"/>
  <c r="L298" i="14"/>
  <c r="L305" i="14"/>
  <c r="L313" i="14"/>
  <c r="L321" i="14"/>
  <c r="L329" i="14"/>
  <c r="L337" i="14"/>
  <c r="L345" i="14"/>
  <c r="L353" i="14"/>
  <c r="L361" i="14"/>
  <c r="L369" i="14"/>
  <c r="L377" i="14"/>
  <c r="L385" i="14"/>
  <c r="L393" i="14"/>
  <c r="L401" i="14"/>
  <c r="L409" i="14"/>
  <c r="L417" i="14"/>
  <c r="M48" i="14"/>
  <c r="M66" i="14"/>
  <c r="M83" i="14"/>
  <c r="M98" i="14"/>
  <c r="M113" i="14"/>
  <c r="M128" i="14"/>
  <c r="M141" i="14"/>
  <c r="M156" i="14"/>
  <c r="M171" i="14"/>
  <c r="M184" i="14"/>
  <c r="M199" i="14"/>
  <c r="M212" i="14"/>
  <c r="M227" i="14"/>
  <c r="M242" i="14"/>
  <c r="M249" i="14"/>
  <c r="M256" i="14"/>
  <c r="M263" i="14"/>
  <c r="M270" i="14"/>
  <c r="M277" i="14"/>
  <c r="M284" i="14"/>
  <c r="M291" i="14"/>
  <c r="M298" i="14"/>
  <c r="M305" i="14"/>
  <c r="M313" i="14"/>
  <c r="M321" i="14"/>
  <c r="M329" i="14"/>
  <c r="M337" i="14"/>
  <c r="M345" i="14"/>
  <c r="M353" i="14"/>
  <c r="M361" i="14"/>
  <c r="M369" i="14"/>
  <c r="M377" i="14"/>
  <c r="M385" i="14"/>
  <c r="M393" i="14"/>
  <c r="M401" i="14"/>
  <c r="M409" i="14"/>
  <c r="M417" i="14"/>
  <c r="N48" i="14"/>
  <c r="N66" i="14"/>
  <c r="N83" i="14"/>
  <c r="N98" i="14"/>
  <c r="N113" i="14"/>
  <c r="N128" i="14"/>
  <c r="N141" i="14"/>
  <c r="N156" i="14"/>
  <c r="N171" i="14"/>
  <c r="N184" i="14"/>
  <c r="N199" i="14"/>
  <c r="N212" i="14"/>
  <c r="N227" i="14"/>
  <c r="N242" i="14"/>
  <c r="N249" i="14"/>
  <c r="N256" i="14"/>
  <c r="N263" i="14"/>
  <c r="N270" i="14"/>
  <c r="N277" i="14"/>
  <c r="N284" i="14"/>
  <c r="N291" i="14"/>
  <c r="N298" i="14"/>
  <c r="N305" i="14"/>
  <c r="N313" i="14"/>
  <c r="N321" i="14"/>
  <c r="N329" i="14"/>
  <c r="N337" i="14"/>
  <c r="N345" i="14"/>
  <c r="N353" i="14"/>
  <c r="N361" i="14"/>
  <c r="N369" i="14"/>
  <c r="N377" i="14"/>
  <c r="N385" i="14"/>
  <c r="N393" i="14"/>
  <c r="N401" i="14"/>
  <c r="N409" i="14"/>
  <c r="N417" i="14"/>
  <c r="J417" i="14"/>
  <c r="J409" i="14"/>
  <c r="J401" i="14"/>
  <c r="J393" i="14"/>
  <c r="J385" i="14"/>
  <c r="J377" i="14"/>
  <c r="J369" i="14"/>
  <c r="J361" i="14"/>
  <c r="J353" i="14"/>
  <c r="J345" i="14"/>
  <c r="J337" i="14"/>
  <c r="J329" i="14"/>
  <c r="J321" i="14"/>
  <c r="J313" i="14"/>
  <c r="J305" i="14"/>
  <c r="J298" i="14"/>
  <c r="J291" i="14"/>
  <c r="J284" i="14"/>
  <c r="J277" i="14"/>
  <c r="J270" i="14"/>
  <c r="J263" i="14"/>
  <c r="J256" i="14"/>
  <c r="J249" i="14"/>
  <c r="J242" i="14"/>
  <c r="J227" i="14"/>
  <c r="J212" i="14"/>
  <c r="J199" i="14"/>
  <c r="J184" i="14"/>
  <c r="J171" i="14"/>
  <c r="J156" i="14"/>
  <c r="J141" i="14"/>
  <c r="J128" i="14"/>
  <c r="J113" i="14"/>
  <c r="J98" i="14"/>
  <c r="J83" i="14"/>
  <c r="J66" i="14"/>
  <c r="J27" i="14"/>
  <c r="N27" i="14"/>
  <c r="M27" i="14"/>
  <c r="L27" i="14"/>
  <c r="L420" i="14"/>
  <c r="L421" i="14"/>
  <c r="L422" i="14"/>
  <c r="L423" i="14"/>
  <c r="M420" i="14"/>
  <c r="M421" i="14"/>
  <c r="M422" i="14"/>
  <c r="M423" i="14"/>
  <c r="N420" i="14"/>
  <c r="N421" i="14"/>
  <c r="N422" i="14"/>
  <c r="N423" i="14"/>
  <c r="J423" i="14"/>
  <c r="E423" i="14"/>
  <c r="J422" i="14"/>
  <c r="E422" i="14"/>
  <c r="J421" i="14"/>
  <c r="E421" i="14"/>
  <c r="J420" i="14"/>
  <c r="E420" i="14"/>
  <c r="L412" i="14"/>
  <c r="L413" i="14"/>
  <c r="L414" i="14"/>
  <c r="L415" i="14"/>
  <c r="M412" i="14"/>
  <c r="M413" i="14"/>
  <c r="M414" i="14"/>
  <c r="M415" i="14"/>
  <c r="N412" i="14"/>
  <c r="N413" i="14"/>
  <c r="N414" i="14"/>
  <c r="N415" i="14"/>
  <c r="J415" i="14"/>
  <c r="E415" i="14"/>
  <c r="J414" i="14"/>
  <c r="E414" i="14"/>
  <c r="J413" i="14"/>
  <c r="E413" i="14"/>
  <c r="J412" i="14"/>
  <c r="E412" i="14"/>
  <c r="L404" i="14"/>
  <c r="L405" i="14"/>
  <c r="L406" i="14"/>
  <c r="L407" i="14"/>
  <c r="M404" i="14"/>
  <c r="M405" i="14"/>
  <c r="M406" i="14"/>
  <c r="M407" i="14"/>
  <c r="N404" i="14"/>
  <c r="N405" i="14"/>
  <c r="N406" i="14"/>
  <c r="N407" i="14"/>
  <c r="J407" i="14"/>
  <c r="E407" i="14"/>
  <c r="J406" i="14"/>
  <c r="E406" i="14"/>
  <c r="J405" i="14"/>
  <c r="E405" i="14"/>
  <c r="J404" i="14"/>
  <c r="E404" i="14"/>
  <c r="L396" i="14"/>
  <c r="L397" i="14"/>
  <c r="L398" i="14"/>
  <c r="L399" i="14"/>
  <c r="M396" i="14"/>
  <c r="M397" i="14"/>
  <c r="M398" i="14"/>
  <c r="M399" i="14"/>
  <c r="N396" i="14"/>
  <c r="N397" i="14"/>
  <c r="N398" i="14"/>
  <c r="N399" i="14"/>
  <c r="J399" i="14"/>
  <c r="E399" i="14"/>
  <c r="J398" i="14"/>
  <c r="E398" i="14"/>
  <c r="J397" i="14"/>
  <c r="E397" i="14"/>
  <c r="J396" i="14"/>
  <c r="E396" i="14"/>
  <c r="L388" i="14"/>
  <c r="L389" i="14"/>
  <c r="L390" i="14"/>
  <c r="L391" i="14"/>
  <c r="M388" i="14"/>
  <c r="M389" i="14"/>
  <c r="M390" i="14"/>
  <c r="M391" i="14"/>
  <c r="N388" i="14"/>
  <c r="N389" i="14"/>
  <c r="N390" i="14"/>
  <c r="N391" i="14"/>
  <c r="J391" i="14"/>
  <c r="E391" i="14"/>
  <c r="J390" i="14"/>
  <c r="E390" i="14"/>
  <c r="J389" i="14"/>
  <c r="E389" i="14"/>
  <c r="J388" i="14"/>
  <c r="E388" i="14"/>
  <c r="L380" i="14"/>
  <c r="L381" i="14"/>
  <c r="L382" i="14"/>
  <c r="L383" i="14"/>
  <c r="M380" i="14"/>
  <c r="M381" i="14"/>
  <c r="M382" i="14"/>
  <c r="M383" i="14"/>
  <c r="N380" i="14"/>
  <c r="N381" i="14"/>
  <c r="N382" i="14"/>
  <c r="N383" i="14"/>
  <c r="J383" i="14"/>
  <c r="E383" i="14"/>
  <c r="J382" i="14"/>
  <c r="E382" i="14"/>
  <c r="J381" i="14"/>
  <c r="E381" i="14"/>
  <c r="J380" i="14"/>
  <c r="E380" i="14"/>
  <c r="L372" i="14"/>
  <c r="L373" i="14"/>
  <c r="L374" i="14"/>
  <c r="L375" i="14"/>
  <c r="M372" i="14"/>
  <c r="M373" i="14"/>
  <c r="M374" i="14"/>
  <c r="M375" i="14"/>
  <c r="N372" i="14"/>
  <c r="N373" i="14"/>
  <c r="N374" i="14"/>
  <c r="N375" i="14"/>
  <c r="J375" i="14"/>
  <c r="E375" i="14"/>
  <c r="J374" i="14"/>
  <c r="E374" i="14"/>
  <c r="J373" i="14"/>
  <c r="E373" i="14"/>
  <c r="J372" i="14"/>
  <c r="E372" i="14"/>
  <c r="L364" i="14"/>
  <c r="L365" i="14"/>
  <c r="L366" i="14"/>
  <c r="L367" i="14"/>
  <c r="M364" i="14"/>
  <c r="M365" i="14"/>
  <c r="M366" i="14"/>
  <c r="M367" i="14"/>
  <c r="N364" i="14"/>
  <c r="N365" i="14"/>
  <c r="N366" i="14"/>
  <c r="N367" i="14"/>
  <c r="J367" i="14"/>
  <c r="E367" i="14"/>
  <c r="J366" i="14"/>
  <c r="E366" i="14"/>
  <c r="J365" i="14"/>
  <c r="E365" i="14"/>
  <c r="J364" i="14"/>
  <c r="E364" i="14"/>
  <c r="L356" i="14"/>
  <c r="L357" i="14"/>
  <c r="L358" i="14"/>
  <c r="L359" i="14"/>
  <c r="M356" i="14"/>
  <c r="M357" i="14"/>
  <c r="M358" i="14"/>
  <c r="M359" i="14"/>
  <c r="N356" i="14"/>
  <c r="N357" i="14"/>
  <c r="N358" i="14"/>
  <c r="N359" i="14"/>
  <c r="J359" i="14"/>
  <c r="E359" i="14"/>
  <c r="J358" i="14"/>
  <c r="E358" i="14"/>
  <c r="J357" i="14"/>
  <c r="E357" i="14"/>
  <c r="J356" i="14"/>
  <c r="E356" i="14"/>
  <c r="L348" i="14"/>
  <c r="L349" i="14"/>
  <c r="L350" i="14"/>
  <c r="L351" i="14"/>
  <c r="M348" i="14"/>
  <c r="M349" i="14"/>
  <c r="M350" i="14"/>
  <c r="M351" i="14"/>
  <c r="N348" i="14"/>
  <c r="N349" i="14"/>
  <c r="N350" i="14"/>
  <c r="N351" i="14"/>
  <c r="J351" i="14"/>
  <c r="E351" i="14"/>
  <c r="J350" i="14"/>
  <c r="E350" i="14"/>
  <c r="J349" i="14"/>
  <c r="E349" i="14"/>
  <c r="J348" i="14"/>
  <c r="E348" i="14"/>
  <c r="L340" i="14"/>
  <c r="L341" i="14"/>
  <c r="L342" i="14"/>
  <c r="L343" i="14"/>
  <c r="M340" i="14"/>
  <c r="M341" i="14"/>
  <c r="M342" i="14"/>
  <c r="M343" i="14"/>
  <c r="N340" i="14"/>
  <c r="N341" i="14"/>
  <c r="N342" i="14"/>
  <c r="N343" i="14"/>
  <c r="J343" i="14"/>
  <c r="E343" i="14"/>
  <c r="J342" i="14"/>
  <c r="E342" i="14"/>
  <c r="J341" i="14"/>
  <c r="E341" i="14"/>
  <c r="J340" i="14"/>
  <c r="E340" i="14"/>
  <c r="L332" i="14"/>
  <c r="L333" i="14"/>
  <c r="L334" i="14"/>
  <c r="L335" i="14"/>
  <c r="M332" i="14"/>
  <c r="M333" i="14"/>
  <c r="M334" i="14"/>
  <c r="M335" i="14"/>
  <c r="N332" i="14"/>
  <c r="N333" i="14"/>
  <c r="N334" i="14"/>
  <c r="N335" i="14"/>
  <c r="J335" i="14"/>
  <c r="E335" i="14"/>
  <c r="J334" i="14"/>
  <c r="E334" i="14"/>
  <c r="J333" i="14"/>
  <c r="E333" i="14"/>
  <c r="J332" i="14"/>
  <c r="E332" i="14"/>
  <c r="J327" i="14"/>
  <c r="E327" i="14"/>
  <c r="J326" i="14"/>
  <c r="E326" i="14"/>
  <c r="J325" i="14"/>
  <c r="E325" i="14"/>
  <c r="J324" i="14"/>
  <c r="E324" i="14"/>
  <c r="L324" i="14"/>
  <c r="L325" i="14"/>
  <c r="L326" i="14"/>
  <c r="L327" i="14"/>
  <c r="M324" i="14"/>
  <c r="M325" i="14"/>
  <c r="M326" i="14"/>
  <c r="M327" i="14"/>
  <c r="N324" i="14"/>
  <c r="N325" i="14"/>
  <c r="N326" i="14"/>
  <c r="N327" i="14"/>
  <c r="L316" i="14"/>
  <c r="L317" i="14"/>
  <c r="L318" i="14"/>
  <c r="L319" i="14"/>
  <c r="M316" i="14"/>
  <c r="M317" i="14"/>
  <c r="M318" i="14"/>
  <c r="M319" i="14"/>
  <c r="N316" i="14"/>
  <c r="N317" i="14"/>
  <c r="N318" i="14"/>
  <c r="N319" i="14"/>
  <c r="J319" i="14"/>
  <c r="E319" i="14"/>
  <c r="J318" i="14"/>
  <c r="E318" i="14"/>
  <c r="J317" i="14"/>
  <c r="E317" i="14"/>
  <c r="J316" i="14"/>
  <c r="E316" i="14"/>
  <c r="L308" i="14"/>
  <c r="L309" i="14"/>
  <c r="L310" i="14"/>
  <c r="L311" i="14"/>
  <c r="M308" i="14"/>
  <c r="M309" i="14"/>
  <c r="M310" i="14"/>
  <c r="M311" i="14"/>
  <c r="N308" i="14"/>
  <c r="N309" i="14"/>
  <c r="N310" i="14"/>
  <c r="N311" i="14"/>
  <c r="J311" i="14"/>
  <c r="E311" i="14"/>
  <c r="J310" i="14"/>
  <c r="E310" i="14"/>
  <c r="J309" i="14"/>
  <c r="E309" i="14"/>
  <c r="J308" i="14"/>
  <c r="E308" i="14"/>
  <c r="L300" i="14"/>
  <c r="L301" i="14"/>
  <c r="L302" i="14"/>
  <c r="L303" i="14"/>
  <c r="M300" i="14"/>
  <c r="M301" i="14"/>
  <c r="M302" i="14"/>
  <c r="M303" i="14"/>
  <c r="N300" i="14"/>
  <c r="N301" i="14"/>
  <c r="N302" i="14"/>
  <c r="N303" i="14"/>
  <c r="J303" i="14"/>
  <c r="E303" i="14"/>
  <c r="J302" i="14"/>
  <c r="E302" i="14"/>
  <c r="J301" i="14"/>
  <c r="E301" i="14"/>
  <c r="J300" i="14"/>
  <c r="E300" i="14"/>
  <c r="L293" i="14"/>
  <c r="L294" i="14"/>
  <c r="L295" i="14"/>
  <c r="L296" i="14"/>
  <c r="M293" i="14"/>
  <c r="M294" i="14"/>
  <c r="M295" i="14"/>
  <c r="M296" i="14"/>
  <c r="N293" i="14"/>
  <c r="N294" i="14"/>
  <c r="N295" i="14"/>
  <c r="N296" i="14"/>
  <c r="J296" i="14"/>
  <c r="E296" i="14"/>
  <c r="J295" i="14"/>
  <c r="E295" i="14"/>
  <c r="J294" i="14"/>
  <c r="E294" i="14"/>
  <c r="J293" i="14"/>
  <c r="E293" i="14"/>
  <c r="L286" i="14"/>
  <c r="L287" i="14"/>
  <c r="L288" i="14"/>
  <c r="L289" i="14"/>
  <c r="M286" i="14"/>
  <c r="M287" i="14"/>
  <c r="M288" i="14"/>
  <c r="M289" i="14"/>
  <c r="N286" i="14"/>
  <c r="N287" i="14"/>
  <c r="N288" i="14"/>
  <c r="N289" i="14"/>
  <c r="J289" i="14"/>
  <c r="E289" i="14"/>
  <c r="J288" i="14"/>
  <c r="E288" i="14"/>
  <c r="J287" i="14"/>
  <c r="E287" i="14"/>
  <c r="J286" i="14"/>
  <c r="E286" i="14"/>
  <c r="L279" i="14"/>
  <c r="L280" i="14"/>
  <c r="L281" i="14"/>
  <c r="L282" i="14"/>
  <c r="M279" i="14"/>
  <c r="M280" i="14"/>
  <c r="M281" i="14"/>
  <c r="M282" i="14"/>
  <c r="N279" i="14"/>
  <c r="N280" i="14"/>
  <c r="N281" i="14"/>
  <c r="N282" i="14"/>
  <c r="J282" i="14"/>
  <c r="E282" i="14"/>
  <c r="J281" i="14"/>
  <c r="E281" i="14"/>
  <c r="J280" i="14"/>
  <c r="E280" i="14"/>
  <c r="J279" i="14"/>
  <c r="E279" i="14"/>
  <c r="L272" i="14"/>
  <c r="L273" i="14"/>
  <c r="L274" i="14"/>
  <c r="L275" i="14"/>
  <c r="M272" i="14"/>
  <c r="M273" i="14"/>
  <c r="M274" i="14"/>
  <c r="M275" i="14"/>
  <c r="N272" i="14"/>
  <c r="N273" i="14"/>
  <c r="N274" i="14"/>
  <c r="N275" i="14"/>
  <c r="J275" i="14"/>
  <c r="E275" i="14"/>
  <c r="J274" i="14"/>
  <c r="E274" i="14"/>
  <c r="J273" i="14"/>
  <c r="E273" i="14"/>
  <c r="J272" i="14"/>
  <c r="E272" i="14"/>
  <c r="L265" i="14"/>
  <c r="L266" i="14"/>
  <c r="L267" i="14"/>
  <c r="L268" i="14"/>
  <c r="M265" i="14"/>
  <c r="M266" i="14"/>
  <c r="M267" i="14"/>
  <c r="M268" i="14"/>
  <c r="N265" i="14"/>
  <c r="N266" i="14"/>
  <c r="N267" i="14"/>
  <c r="N268" i="14"/>
  <c r="J268" i="14"/>
  <c r="E268" i="14"/>
  <c r="J267" i="14"/>
  <c r="E267" i="14"/>
  <c r="J266" i="14"/>
  <c r="E266" i="14"/>
  <c r="J265" i="14"/>
  <c r="E265" i="14"/>
  <c r="L258" i="14"/>
  <c r="L259" i="14"/>
  <c r="L260" i="14"/>
  <c r="L261" i="14"/>
  <c r="M258" i="14"/>
  <c r="M259" i="14"/>
  <c r="M260" i="14"/>
  <c r="M261" i="14"/>
  <c r="N258" i="14"/>
  <c r="N259" i="14"/>
  <c r="N260" i="14"/>
  <c r="N261" i="14"/>
  <c r="J261" i="14"/>
  <c r="O99" i="14" s="1"/>
  <c r="P99" i="14" s="1"/>
  <c r="E261" i="14"/>
  <c r="J260" i="14"/>
  <c r="E260" i="14"/>
  <c r="J259" i="14"/>
  <c r="E259" i="14"/>
  <c r="J258" i="14"/>
  <c r="E258" i="14"/>
  <c r="L251" i="14"/>
  <c r="L252" i="14"/>
  <c r="L253" i="14"/>
  <c r="L254" i="14"/>
  <c r="M251" i="14"/>
  <c r="M252" i="14"/>
  <c r="M253" i="14"/>
  <c r="M254" i="14"/>
  <c r="N251" i="14"/>
  <c r="N252" i="14"/>
  <c r="N253" i="14"/>
  <c r="N254" i="14"/>
  <c r="J254" i="14"/>
  <c r="E254" i="14"/>
  <c r="J253" i="14"/>
  <c r="E253" i="14"/>
  <c r="J252" i="14"/>
  <c r="E252" i="14"/>
  <c r="J251" i="14"/>
  <c r="E251" i="14"/>
  <c r="L244" i="14"/>
  <c r="L245" i="14"/>
  <c r="L246" i="14"/>
  <c r="L247" i="14"/>
  <c r="M244" i="14"/>
  <c r="M245" i="14"/>
  <c r="M246" i="14"/>
  <c r="M247" i="14"/>
  <c r="N244" i="14"/>
  <c r="N245" i="14"/>
  <c r="N246" i="14"/>
  <c r="N247" i="14"/>
  <c r="J247" i="14"/>
  <c r="E247" i="14"/>
  <c r="J246" i="14"/>
  <c r="E246" i="14"/>
  <c r="J245" i="14"/>
  <c r="E245" i="14"/>
  <c r="J244" i="14"/>
  <c r="E244" i="14"/>
  <c r="L315" i="14"/>
  <c r="L323" i="14"/>
  <c r="L331" i="14"/>
  <c r="L339" i="14"/>
  <c r="L347" i="14"/>
  <c r="L355" i="14"/>
  <c r="L363" i="14"/>
  <c r="L371" i="14"/>
  <c r="L379" i="14"/>
  <c r="L387" i="14"/>
  <c r="L395" i="14"/>
  <c r="L403" i="14"/>
  <c r="L411" i="14"/>
  <c r="L419" i="14"/>
  <c r="M315" i="14"/>
  <c r="M323" i="14"/>
  <c r="M331" i="14"/>
  <c r="M339" i="14"/>
  <c r="M347" i="14"/>
  <c r="M355" i="14"/>
  <c r="M363" i="14"/>
  <c r="M371" i="14"/>
  <c r="M379" i="14"/>
  <c r="M387" i="14"/>
  <c r="M395" i="14"/>
  <c r="M403" i="14"/>
  <c r="M411" i="14"/>
  <c r="M419" i="14"/>
  <c r="N315" i="14"/>
  <c r="N323" i="14"/>
  <c r="N331" i="14"/>
  <c r="N339" i="14"/>
  <c r="N347" i="14"/>
  <c r="N355" i="14"/>
  <c r="N363" i="14"/>
  <c r="N371" i="14"/>
  <c r="N379" i="14"/>
  <c r="N387" i="14"/>
  <c r="N395" i="14"/>
  <c r="N403" i="14"/>
  <c r="N411" i="14"/>
  <c r="N419" i="14"/>
  <c r="J419" i="14"/>
  <c r="E419" i="14"/>
  <c r="J411" i="14"/>
  <c r="E411" i="14"/>
  <c r="J403" i="14"/>
  <c r="E403" i="14"/>
  <c r="J395" i="14"/>
  <c r="E395" i="14"/>
  <c r="J387" i="14"/>
  <c r="E387" i="14"/>
  <c r="J379" i="14"/>
  <c r="E379" i="14"/>
  <c r="J371" i="14"/>
  <c r="E371" i="14"/>
  <c r="J363" i="14"/>
  <c r="E363" i="14"/>
  <c r="J355" i="14"/>
  <c r="E355" i="14"/>
  <c r="J347" i="14"/>
  <c r="E347" i="14"/>
  <c r="J339" i="14"/>
  <c r="E339" i="14"/>
  <c r="J331" i="14"/>
  <c r="E331" i="14"/>
  <c r="J323" i="14"/>
  <c r="E323" i="14"/>
  <c r="J315" i="14"/>
  <c r="E315" i="14"/>
  <c r="N307" i="14"/>
  <c r="M307" i="14"/>
  <c r="L307" i="14"/>
  <c r="J307" i="14"/>
  <c r="E307" i="14"/>
  <c r="L292" i="14"/>
  <c r="M292" i="14"/>
  <c r="N292" i="14"/>
  <c r="J292" i="14"/>
  <c r="E292" i="14"/>
  <c r="E46" i="18"/>
  <c r="F46" i="18"/>
  <c r="F47" i="18"/>
  <c r="E47" i="18"/>
  <c r="L262" i="14"/>
  <c r="L269" i="14"/>
  <c r="L276" i="14"/>
  <c r="L283" i="14"/>
  <c r="L290" i="14"/>
  <c r="L297" i="14"/>
  <c r="L304" i="14"/>
  <c r="L312" i="14"/>
  <c r="L320" i="14"/>
  <c r="L328" i="14"/>
  <c r="L336" i="14"/>
  <c r="L344" i="14"/>
  <c r="L352" i="14"/>
  <c r="L360" i="14"/>
  <c r="L368" i="14"/>
  <c r="L376" i="14"/>
  <c r="L384" i="14"/>
  <c r="L392" i="14"/>
  <c r="L400" i="14"/>
  <c r="L408" i="14"/>
  <c r="L416" i="14"/>
  <c r="M262" i="14"/>
  <c r="M269" i="14"/>
  <c r="M276" i="14"/>
  <c r="M283" i="14"/>
  <c r="M290" i="14"/>
  <c r="M297" i="14"/>
  <c r="M304" i="14"/>
  <c r="M312" i="14"/>
  <c r="M320" i="14"/>
  <c r="M328" i="14"/>
  <c r="M336" i="14"/>
  <c r="M344" i="14"/>
  <c r="M352" i="14"/>
  <c r="M360" i="14"/>
  <c r="M368" i="14"/>
  <c r="M376" i="14"/>
  <c r="M384" i="14"/>
  <c r="M392" i="14"/>
  <c r="M400" i="14"/>
  <c r="M408" i="14"/>
  <c r="M416" i="14"/>
  <c r="N262" i="14"/>
  <c r="N269" i="14"/>
  <c r="N276" i="14"/>
  <c r="N283" i="14"/>
  <c r="N290" i="14"/>
  <c r="N297" i="14"/>
  <c r="N304" i="14"/>
  <c r="N312" i="14"/>
  <c r="N320" i="14"/>
  <c r="N328" i="14"/>
  <c r="N336" i="14"/>
  <c r="N344" i="14"/>
  <c r="N352" i="14"/>
  <c r="N360" i="14"/>
  <c r="N368" i="14"/>
  <c r="N376" i="14"/>
  <c r="N384" i="14"/>
  <c r="N392" i="14"/>
  <c r="N400" i="14"/>
  <c r="N408" i="14"/>
  <c r="N416" i="14"/>
  <c r="J416" i="14"/>
  <c r="E416" i="14"/>
  <c r="J408" i="14"/>
  <c r="E408" i="14"/>
  <c r="J400" i="14"/>
  <c r="E400" i="14"/>
  <c r="J392" i="14"/>
  <c r="E392" i="14"/>
  <c r="J384" i="14"/>
  <c r="E384" i="14"/>
  <c r="J376" i="14"/>
  <c r="E376" i="14"/>
  <c r="J368" i="14"/>
  <c r="E368" i="14"/>
  <c r="J360" i="14"/>
  <c r="E360" i="14"/>
  <c r="J352" i="14"/>
  <c r="E352" i="14"/>
  <c r="J344" i="14"/>
  <c r="E344" i="14"/>
  <c r="J336" i="14"/>
  <c r="E336" i="14"/>
  <c r="J328" i="14"/>
  <c r="E328" i="14"/>
  <c r="J320" i="14"/>
  <c r="E320" i="14"/>
  <c r="J312" i="14"/>
  <c r="E312" i="14"/>
  <c r="J304" i="14"/>
  <c r="E304" i="14"/>
  <c r="J297" i="14"/>
  <c r="E297" i="14"/>
  <c r="J290" i="14"/>
  <c r="E290" i="14"/>
  <c r="J283" i="14"/>
  <c r="E283" i="14"/>
  <c r="J276" i="14"/>
  <c r="E276" i="14"/>
  <c r="J269" i="14"/>
  <c r="E269" i="14"/>
  <c r="J262" i="14"/>
  <c r="E262" i="14"/>
  <c r="L255" i="14"/>
  <c r="M255" i="14"/>
  <c r="N255" i="14"/>
  <c r="J255" i="14"/>
  <c r="E255" i="14"/>
  <c r="L248" i="14"/>
  <c r="M248" i="14"/>
  <c r="N248" i="14"/>
  <c r="J248" i="14"/>
  <c r="E248" i="14"/>
  <c r="L241" i="14"/>
  <c r="M241" i="14"/>
  <c r="N241" i="14"/>
  <c r="J241" i="14"/>
  <c r="E241" i="14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E31" i="18"/>
  <c r="F31" i="18"/>
  <c r="E32" i="18"/>
  <c r="F32" i="18"/>
  <c r="E33" i="18"/>
  <c r="F33" i="18"/>
  <c r="E34" i="18"/>
  <c r="F34" i="18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21" i="18"/>
  <c r="F21" i="18"/>
  <c r="J418" i="14"/>
  <c r="J410" i="14"/>
  <c r="J402" i="14"/>
  <c r="J394" i="14"/>
  <c r="J386" i="14"/>
  <c r="J378" i="14"/>
  <c r="J370" i="14"/>
  <c r="J362" i="14"/>
  <c r="J354" i="14"/>
  <c r="J346" i="14"/>
  <c r="J338" i="14"/>
  <c r="J330" i="14"/>
  <c r="J322" i="14"/>
  <c r="J314" i="14"/>
  <c r="J306" i="14"/>
  <c r="J299" i="14"/>
  <c r="J285" i="14"/>
  <c r="J278" i="14"/>
  <c r="J271" i="14"/>
  <c r="J264" i="14"/>
  <c r="J257" i="14"/>
  <c r="J250" i="14"/>
  <c r="J243" i="14"/>
  <c r="E418" i="14"/>
  <c r="E410" i="14"/>
  <c r="E402" i="14"/>
  <c r="E394" i="14"/>
  <c r="E386" i="14"/>
  <c r="E378" i="14"/>
  <c r="E370" i="14"/>
  <c r="E362" i="14"/>
  <c r="E354" i="14"/>
  <c r="E346" i="14"/>
  <c r="E338" i="14"/>
  <c r="E330" i="14"/>
  <c r="E322" i="14"/>
  <c r="E314" i="14"/>
  <c r="E306" i="14"/>
  <c r="E299" i="14"/>
  <c r="E285" i="14"/>
  <c r="E278" i="14"/>
  <c r="E271" i="14"/>
  <c r="E264" i="14"/>
  <c r="E257" i="14"/>
  <c r="E250" i="14"/>
  <c r="E243" i="14"/>
  <c r="L354" i="14"/>
  <c r="L362" i="14"/>
  <c r="L370" i="14"/>
  <c r="L378" i="14"/>
  <c r="L386" i="14"/>
  <c r="L394" i="14"/>
  <c r="L402" i="14"/>
  <c r="L410" i="14"/>
  <c r="L418" i="14"/>
  <c r="M354" i="14"/>
  <c r="M362" i="14"/>
  <c r="M370" i="14"/>
  <c r="M378" i="14"/>
  <c r="M386" i="14"/>
  <c r="M394" i="14"/>
  <c r="M402" i="14"/>
  <c r="M410" i="14"/>
  <c r="M418" i="14"/>
  <c r="N354" i="14"/>
  <c r="N362" i="14"/>
  <c r="N370" i="14"/>
  <c r="N378" i="14"/>
  <c r="N386" i="14"/>
  <c r="N394" i="14"/>
  <c r="N402" i="14"/>
  <c r="N410" i="14"/>
  <c r="N418" i="14"/>
  <c r="L299" i="14"/>
  <c r="L306" i="14"/>
  <c r="L314" i="14"/>
  <c r="L322" i="14"/>
  <c r="L330" i="14"/>
  <c r="L338" i="14"/>
  <c r="L346" i="14"/>
  <c r="M299" i="14"/>
  <c r="M306" i="14"/>
  <c r="M314" i="14"/>
  <c r="M322" i="14"/>
  <c r="M330" i="14"/>
  <c r="M338" i="14"/>
  <c r="M346" i="14"/>
  <c r="N299" i="14"/>
  <c r="N306" i="14"/>
  <c r="N314" i="14"/>
  <c r="N322" i="14"/>
  <c r="N330" i="14"/>
  <c r="N338" i="14"/>
  <c r="N346" i="14"/>
  <c r="L257" i="14"/>
  <c r="L264" i="14"/>
  <c r="L271" i="14"/>
  <c r="L278" i="14"/>
  <c r="L285" i="14"/>
  <c r="M257" i="14"/>
  <c r="M264" i="14"/>
  <c r="M271" i="14"/>
  <c r="M278" i="14"/>
  <c r="M285" i="14"/>
  <c r="N257" i="14"/>
  <c r="N264" i="14"/>
  <c r="N271" i="14"/>
  <c r="N278" i="14"/>
  <c r="N285" i="14"/>
  <c r="L250" i="14"/>
  <c r="M250" i="14"/>
  <c r="N250" i="14"/>
  <c r="L243" i="14"/>
  <c r="M243" i="14"/>
  <c r="N243" i="14"/>
  <c r="J38" i="14"/>
  <c r="O207" i="14" s="1"/>
  <c r="P207" i="14" s="1"/>
  <c r="J57" i="14"/>
  <c r="J75" i="14"/>
  <c r="J90" i="14"/>
  <c r="J105" i="14"/>
  <c r="J120" i="14"/>
  <c r="J135" i="14"/>
  <c r="J150" i="14"/>
  <c r="J165" i="14"/>
  <c r="J179" i="14"/>
  <c r="J194" i="14"/>
  <c r="J207" i="14"/>
  <c r="J237" i="14"/>
  <c r="J228" i="14"/>
  <c r="J239" i="14"/>
  <c r="J240" i="14"/>
  <c r="J230" i="14"/>
  <c r="J236" i="14"/>
  <c r="J235" i="14"/>
  <c r="J234" i="14"/>
  <c r="J229" i="14"/>
  <c r="J217" i="14"/>
  <c r="J223" i="14"/>
  <c r="J216" i="14"/>
  <c r="J218" i="14"/>
  <c r="J222" i="14"/>
  <c r="J213" i="14"/>
  <c r="J224" i="14"/>
  <c r="J225" i="14"/>
  <c r="J215" i="14"/>
  <c r="J221" i="14"/>
  <c r="J220" i="14"/>
  <c r="J219" i="14"/>
  <c r="J214" i="14"/>
  <c r="J208" i="14"/>
  <c r="J202" i="14"/>
  <c r="J203" i="14"/>
  <c r="J201" i="14"/>
  <c r="J209" i="14"/>
  <c r="J210" i="14"/>
  <c r="J200" i="14"/>
  <c r="J206" i="14"/>
  <c r="J205" i="14"/>
  <c r="J204" i="14"/>
  <c r="J188" i="14"/>
  <c r="J195" i="14"/>
  <c r="J187" i="14"/>
  <c r="J190" i="14"/>
  <c r="J189" i="14"/>
  <c r="J196" i="14"/>
  <c r="J197" i="14"/>
  <c r="J186" i="14"/>
  <c r="J193" i="14"/>
  <c r="J192" i="14"/>
  <c r="J191" i="14"/>
  <c r="J185" i="14"/>
  <c r="J180" i="14"/>
  <c r="J173" i="14"/>
  <c r="J175" i="14"/>
  <c r="J174" i="14"/>
  <c r="J181" i="14"/>
  <c r="J182" i="14"/>
  <c r="J172" i="14"/>
  <c r="J178" i="14"/>
  <c r="J177" i="14"/>
  <c r="J176" i="14"/>
  <c r="J158" i="14"/>
  <c r="J166" i="14"/>
  <c r="J157" i="14"/>
  <c r="J161" i="14"/>
  <c r="J160" i="14"/>
  <c r="J167" i="14"/>
  <c r="J168" i="14"/>
  <c r="J159" i="14"/>
  <c r="J164" i="14"/>
  <c r="J163" i="14"/>
  <c r="J162" i="14"/>
  <c r="J143" i="14"/>
  <c r="J151" i="14"/>
  <c r="J142" i="14"/>
  <c r="J146" i="14"/>
  <c r="J145" i="14"/>
  <c r="J152" i="14"/>
  <c r="J153" i="14"/>
  <c r="J144" i="14"/>
  <c r="J149" i="14"/>
  <c r="J148" i="14"/>
  <c r="J147" i="14"/>
  <c r="J127" i="14"/>
  <c r="J136" i="14"/>
  <c r="J126" i="14"/>
  <c r="J131" i="14"/>
  <c r="J130" i="14"/>
  <c r="J137" i="14"/>
  <c r="J138" i="14"/>
  <c r="J129" i="14"/>
  <c r="J134" i="14"/>
  <c r="J133" i="14"/>
  <c r="J132" i="14"/>
  <c r="J112" i="14"/>
  <c r="J121" i="14"/>
  <c r="J111" i="14"/>
  <c r="J116" i="14"/>
  <c r="J115" i="14"/>
  <c r="J122" i="14"/>
  <c r="J123" i="14"/>
  <c r="J114" i="14"/>
  <c r="J119" i="14"/>
  <c r="J118" i="14"/>
  <c r="J117" i="14"/>
  <c r="J97" i="14"/>
  <c r="J106" i="14"/>
  <c r="J96" i="14"/>
  <c r="J101" i="14"/>
  <c r="J100" i="14"/>
  <c r="J107" i="14"/>
  <c r="J108" i="14"/>
  <c r="J99" i="14"/>
  <c r="J104" i="14"/>
  <c r="J103" i="14"/>
  <c r="J102" i="14"/>
  <c r="J82" i="14"/>
  <c r="J91" i="14"/>
  <c r="J81" i="14"/>
  <c r="J86" i="14"/>
  <c r="J94" i="14"/>
  <c r="J80" i="14"/>
  <c r="J79" i="14"/>
  <c r="J47" i="14"/>
  <c r="J65" i="14"/>
  <c r="J68" i="14"/>
  <c r="J50" i="14"/>
  <c r="J30" i="14"/>
  <c r="J29" i="14"/>
  <c r="J64" i="14"/>
  <c r="J76" i="14"/>
  <c r="J63" i="14"/>
  <c r="J71" i="14"/>
  <c r="J67" i="14"/>
  <c r="J70" i="14"/>
  <c r="J77" i="14"/>
  <c r="J78" i="14"/>
  <c r="J69" i="14"/>
  <c r="J74" i="14"/>
  <c r="J73" i="14"/>
  <c r="J72" i="14"/>
  <c r="J62" i="14"/>
  <c r="J61" i="14"/>
  <c r="J58" i="14"/>
  <c r="J46" i="14"/>
  <c r="J53" i="14"/>
  <c r="J59" i="14"/>
  <c r="O209" i="14" s="1"/>
  <c r="P209" i="14" s="1"/>
  <c r="J60" i="14"/>
  <c r="O210" i="14" s="1"/>
  <c r="P210" i="14" s="1"/>
  <c r="J51" i="14"/>
  <c r="J56" i="14"/>
  <c r="O206" i="14" s="1"/>
  <c r="P206" i="14" s="1"/>
  <c r="J55" i="14"/>
  <c r="J54" i="14"/>
  <c r="O205" i="14" s="1"/>
  <c r="P205" i="14" s="1"/>
  <c r="J44" i="14"/>
  <c r="J43" i="14"/>
  <c r="J42" i="14"/>
  <c r="J26" i="14"/>
  <c r="J39" i="14"/>
  <c r="O208" i="14" s="1"/>
  <c r="P208" i="14" s="1"/>
  <c r="J25" i="14"/>
  <c r="J33" i="14"/>
  <c r="J233" i="14"/>
  <c r="J238" i="14"/>
  <c r="J232" i="14"/>
  <c r="J231" i="14"/>
  <c r="J85" i="14"/>
  <c r="J92" i="14"/>
  <c r="J93" i="14"/>
  <c r="J84" i="14"/>
  <c r="J89" i="14"/>
  <c r="J88" i="14"/>
  <c r="J87" i="14"/>
  <c r="J226" i="14"/>
  <c r="J211" i="14"/>
  <c r="J198" i="14"/>
  <c r="J183" i="14"/>
  <c r="J170" i="14"/>
  <c r="J169" i="14"/>
  <c r="J155" i="14"/>
  <c r="J154" i="14"/>
  <c r="J140" i="14"/>
  <c r="J139" i="14"/>
  <c r="J125" i="14"/>
  <c r="J124" i="14"/>
  <c r="J110" i="14"/>
  <c r="J109" i="14"/>
  <c r="J95" i="14"/>
  <c r="J49" i="14"/>
  <c r="J52" i="14"/>
  <c r="J45" i="14"/>
  <c r="J37" i="14"/>
  <c r="J28" i="14"/>
  <c r="J32" i="14"/>
  <c r="J24" i="14"/>
  <c r="J23" i="14"/>
  <c r="J40" i="14"/>
  <c r="J41" i="14"/>
  <c r="J31" i="14"/>
  <c r="J36" i="14"/>
  <c r="J35" i="14"/>
  <c r="J34" i="14"/>
  <c r="J22" i="14"/>
  <c r="J21" i="14"/>
  <c r="J20" i="14"/>
  <c r="J19" i="14"/>
  <c r="O19" i="14" s="1"/>
  <c r="P19" i="14" s="1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E9" i="18"/>
  <c r="F9" i="18"/>
  <c r="E10" i="18"/>
  <c r="F10" i="18"/>
  <c r="E11" i="18"/>
  <c r="F11" i="18"/>
  <c r="E12" i="18"/>
  <c r="F12" i="18"/>
  <c r="E13" i="18"/>
  <c r="F13" i="18"/>
  <c r="E14" i="18"/>
  <c r="F14" i="18"/>
  <c r="E15" i="18"/>
  <c r="F15" i="18"/>
  <c r="E16" i="18"/>
  <c r="F16" i="18"/>
  <c r="E17" i="18"/>
  <c r="F17" i="18"/>
  <c r="E18" i="18"/>
  <c r="F18" i="18"/>
  <c r="E19" i="18"/>
  <c r="F19" i="18"/>
  <c r="E20" i="18"/>
  <c r="F20" i="18"/>
  <c r="L229" i="14"/>
  <c r="L234" i="14"/>
  <c r="L235" i="14"/>
  <c r="L236" i="14"/>
  <c r="L230" i="14"/>
  <c r="L240" i="14"/>
  <c r="L239" i="14"/>
  <c r="L228" i="14"/>
  <c r="L237" i="14"/>
  <c r="L231" i="14"/>
  <c r="L232" i="14"/>
  <c r="L238" i="14"/>
  <c r="L233" i="14"/>
  <c r="M229" i="14"/>
  <c r="M234" i="14"/>
  <c r="M235" i="14"/>
  <c r="M236" i="14"/>
  <c r="M230" i="14"/>
  <c r="M240" i="14"/>
  <c r="M239" i="14"/>
  <c r="M228" i="14"/>
  <c r="M237" i="14"/>
  <c r="M231" i="14"/>
  <c r="M232" i="14"/>
  <c r="M238" i="14"/>
  <c r="M233" i="14"/>
  <c r="N229" i="14"/>
  <c r="N234" i="14"/>
  <c r="N235" i="14"/>
  <c r="N236" i="14"/>
  <c r="N230" i="14"/>
  <c r="N240" i="14"/>
  <c r="N239" i="14"/>
  <c r="N228" i="14"/>
  <c r="N237" i="14"/>
  <c r="N231" i="14"/>
  <c r="N232" i="14"/>
  <c r="N238" i="14"/>
  <c r="N233" i="14"/>
  <c r="E233" i="14"/>
  <c r="E238" i="14"/>
  <c r="E232" i="14"/>
  <c r="E231" i="14"/>
  <c r="E237" i="14"/>
  <c r="E228" i="14"/>
  <c r="E239" i="14"/>
  <c r="E240" i="14"/>
  <c r="E230" i="14"/>
  <c r="E236" i="14"/>
  <c r="E235" i="14"/>
  <c r="E234" i="14"/>
  <c r="E229" i="14"/>
  <c r="L214" i="14"/>
  <c r="L219" i="14"/>
  <c r="L220" i="14"/>
  <c r="L221" i="14"/>
  <c r="L215" i="14"/>
  <c r="L225" i="14"/>
  <c r="L224" i="14"/>
  <c r="L213" i="14"/>
  <c r="L222" i="14"/>
  <c r="L218" i="14"/>
  <c r="L216" i="14"/>
  <c r="L223" i="14"/>
  <c r="L217" i="14"/>
  <c r="M214" i="14"/>
  <c r="M219" i="14"/>
  <c r="M220" i="14"/>
  <c r="M221" i="14"/>
  <c r="M215" i="14"/>
  <c r="M225" i="14"/>
  <c r="M224" i="14"/>
  <c r="M213" i="14"/>
  <c r="M222" i="14"/>
  <c r="M218" i="14"/>
  <c r="M216" i="14"/>
  <c r="M223" i="14"/>
  <c r="M217" i="14"/>
  <c r="N214" i="14"/>
  <c r="N219" i="14"/>
  <c r="N220" i="14"/>
  <c r="N221" i="14"/>
  <c r="N215" i="14"/>
  <c r="N225" i="14"/>
  <c r="N224" i="14"/>
  <c r="N213" i="14"/>
  <c r="N222" i="14"/>
  <c r="N218" i="14"/>
  <c r="N216" i="14"/>
  <c r="N223" i="14"/>
  <c r="N217" i="14"/>
  <c r="E217" i="14"/>
  <c r="E223" i="14"/>
  <c r="E216" i="14"/>
  <c r="E218" i="14"/>
  <c r="E222" i="14"/>
  <c r="E213" i="14"/>
  <c r="E224" i="14"/>
  <c r="E225" i="14"/>
  <c r="E215" i="14"/>
  <c r="E221" i="14"/>
  <c r="E220" i="14"/>
  <c r="E219" i="14"/>
  <c r="E214" i="14"/>
  <c r="L204" i="14"/>
  <c r="L205" i="14"/>
  <c r="L206" i="14"/>
  <c r="L200" i="14"/>
  <c r="L210" i="14"/>
  <c r="L209" i="14"/>
  <c r="L201" i="14"/>
  <c r="L207" i="14"/>
  <c r="L203" i="14"/>
  <c r="L202" i="14"/>
  <c r="L208" i="14"/>
  <c r="M204" i="14"/>
  <c r="M205" i="14"/>
  <c r="M206" i="14"/>
  <c r="M200" i="14"/>
  <c r="M210" i="14"/>
  <c r="M209" i="14"/>
  <c r="M201" i="14"/>
  <c r="M207" i="14"/>
  <c r="M203" i="14"/>
  <c r="M202" i="14"/>
  <c r="M208" i="14"/>
  <c r="N204" i="14"/>
  <c r="N205" i="14"/>
  <c r="N206" i="14"/>
  <c r="N200" i="14"/>
  <c r="N210" i="14"/>
  <c r="N209" i="14"/>
  <c r="N201" i="14"/>
  <c r="N207" i="14"/>
  <c r="N203" i="14"/>
  <c r="N202" i="14"/>
  <c r="N208" i="14"/>
  <c r="E208" i="14"/>
  <c r="E202" i="14"/>
  <c r="E203" i="14"/>
  <c r="E207" i="14"/>
  <c r="E201" i="14"/>
  <c r="E209" i="14"/>
  <c r="E210" i="14"/>
  <c r="E200" i="14"/>
  <c r="E206" i="14"/>
  <c r="E205" i="14"/>
  <c r="E204" i="14"/>
  <c r="L191" i="14"/>
  <c r="L192" i="14"/>
  <c r="L193" i="14"/>
  <c r="L186" i="14"/>
  <c r="L197" i="14"/>
  <c r="L196" i="14"/>
  <c r="L189" i="14"/>
  <c r="L194" i="14"/>
  <c r="L190" i="14"/>
  <c r="L187" i="14"/>
  <c r="L195" i="14"/>
  <c r="L188" i="14"/>
  <c r="M191" i="14"/>
  <c r="M192" i="14"/>
  <c r="M193" i="14"/>
  <c r="M186" i="14"/>
  <c r="M197" i="14"/>
  <c r="M196" i="14"/>
  <c r="M189" i="14"/>
  <c r="M194" i="14"/>
  <c r="M190" i="14"/>
  <c r="M187" i="14"/>
  <c r="M195" i="14"/>
  <c r="M188" i="14"/>
  <c r="N191" i="14"/>
  <c r="N192" i="14"/>
  <c r="N193" i="14"/>
  <c r="N186" i="14"/>
  <c r="N197" i="14"/>
  <c r="N196" i="14"/>
  <c r="N189" i="14"/>
  <c r="N194" i="14"/>
  <c r="N190" i="14"/>
  <c r="N187" i="14"/>
  <c r="N195" i="14"/>
  <c r="N188" i="14"/>
  <c r="E188" i="14"/>
  <c r="E195" i="14"/>
  <c r="E187" i="14"/>
  <c r="E190" i="14"/>
  <c r="E194" i="14"/>
  <c r="E189" i="14"/>
  <c r="E196" i="14"/>
  <c r="E197" i="14"/>
  <c r="E186" i="14"/>
  <c r="E193" i="14"/>
  <c r="E192" i="14"/>
  <c r="E191" i="14"/>
  <c r="L176" i="14"/>
  <c r="L177" i="14"/>
  <c r="L178" i="14"/>
  <c r="L172" i="14"/>
  <c r="L182" i="14"/>
  <c r="L181" i="14"/>
  <c r="L174" i="14"/>
  <c r="L179" i="14"/>
  <c r="L175" i="14"/>
  <c r="L173" i="14"/>
  <c r="L180" i="14"/>
  <c r="L185" i="14"/>
  <c r="M176" i="14"/>
  <c r="M177" i="14"/>
  <c r="M178" i="14"/>
  <c r="M172" i="14"/>
  <c r="M182" i="14"/>
  <c r="M181" i="14"/>
  <c r="M174" i="14"/>
  <c r="M179" i="14"/>
  <c r="M175" i="14"/>
  <c r="M173" i="14"/>
  <c r="M180" i="14"/>
  <c r="M185" i="14"/>
  <c r="N176" i="14"/>
  <c r="N177" i="14"/>
  <c r="N178" i="14"/>
  <c r="N172" i="14"/>
  <c r="N182" i="14"/>
  <c r="N181" i="14"/>
  <c r="N174" i="14"/>
  <c r="N179" i="14"/>
  <c r="N175" i="14"/>
  <c r="N173" i="14"/>
  <c r="N180" i="14"/>
  <c r="N185" i="14"/>
  <c r="E185" i="14"/>
  <c r="E180" i="14"/>
  <c r="E173" i="14"/>
  <c r="E175" i="14"/>
  <c r="E179" i="14"/>
  <c r="E174" i="14"/>
  <c r="E181" i="14"/>
  <c r="E182" i="14"/>
  <c r="E172" i="14"/>
  <c r="E178" i="14"/>
  <c r="E177" i="14"/>
  <c r="E176" i="14"/>
  <c r="L162" i="14"/>
  <c r="L163" i="14"/>
  <c r="L164" i="14"/>
  <c r="L159" i="14"/>
  <c r="L168" i="14"/>
  <c r="L167" i="14"/>
  <c r="L160" i="14"/>
  <c r="L165" i="14"/>
  <c r="L161" i="14"/>
  <c r="L157" i="14"/>
  <c r="L166" i="14"/>
  <c r="L158" i="14"/>
  <c r="M162" i="14"/>
  <c r="M163" i="14"/>
  <c r="M164" i="14"/>
  <c r="M159" i="14"/>
  <c r="M168" i="14"/>
  <c r="M167" i="14"/>
  <c r="M160" i="14"/>
  <c r="M165" i="14"/>
  <c r="M161" i="14"/>
  <c r="M157" i="14"/>
  <c r="M166" i="14"/>
  <c r="M158" i="14"/>
  <c r="N162" i="14"/>
  <c r="N163" i="14"/>
  <c r="N164" i="14"/>
  <c r="N159" i="14"/>
  <c r="N168" i="14"/>
  <c r="N167" i="14"/>
  <c r="N160" i="14"/>
  <c r="N165" i="14"/>
  <c r="N161" i="14"/>
  <c r="N157" i="14"/>
  <c r="N166" i="14"/>
  <c r="N158" i="14"/>
  <c r="E158" i="14"/>
  <c r="E166" i="14"/>
  <c r="E157" i="14"/>
  <c r="E161" i="14"/>
  <c r="E165" i="14"/>
  <c r="E160" i="14"/>
  <c r="E167" i="14"/>
  <c r="E168" i="14"/>
  <c r="E159" i="14"/>
  <c r="E164" i="14"/>
  <c r="E163" i="14"/>
  <c r="E162" i="14"/>
  <c r="L147" i="14"/>
  <c r="L148" i="14"/>
  <c r="L149" i="14"/>
  <c r="L144" i="14"/>
  <c r="L153" i="14"/>
  <c r="L152" i="14"/>
  <c r="L145" i="14"/>
  <c r="L150" i="14"/>
  <c r="L146" i="14"/>
  <c r="L142" i="14"/>
  <c r="L151" i="14"/>
  <c r="L143" i="14"/>
  <c r="M147" i="14"/>
  <c r="M148" i="14"/>
  <c r="M149" i="14"/>
  <c r="M144" i="14"/>
  <c r="M153" i="14"/>
  <c r="M152" i="14"/>
  <c r="M145" i="14"/>
  <c r="M150" i="14"/>
  <c r="M146" i="14"/>
  <c r="M142" i="14"/>
  <c r="M151" i="14"/>
  <c r="M143" i="14"/>
  <c r="N147" i="14"/>
  <c r="N148" i="14"/>
  <c r="N149" i="14"/>
  <c r="N144" i="14"/>
  <c r="N153" i="14"/>
  <c r="N152" i="14"/>
  <c r="N145" i="14"/>
  <c r="N150" i="14"/>
  <c r="N146" i="14"/>
  <c r="N142" i="14"/>
  <c r="N151" i="14"/>
  <c r="N143" i="14"/>
  <c r="E143" i="14"/>
  <c r="E151" i="14"/>
  <c r="E142" i="14"/>
  <c r="E146" i="14"/>
  <c r="E150" i="14"/>
  <c r="E145" i="14"/>
  <c r="E152" i="14"/>
  <c r="E153" i="14"/>
  <c r="E144" i="14"/>
  <c r="E149" i="14"/>
  <c r="E148" i="14"/>
  <c r="E147" i="14"/>
  <c r="L132" i="14"/>
  <c r="L133" i="14"/>
  <c r="L134" i="14"/>
  <c r="L129" i="14"/>
  <c r="L138" i="14"/>
  <c r="L137" i="14"/>
  <c r="L130" i="14"/>
  <c r="L135" i="14"/>
  <c r="L131" i="14"/>
  <c r="L126" i="14"/>
  <c r="L136" i="14"/>
  <c r="L127" i="14"/>
  <c r="M132" i="14"/>
  <c r="M133" i="14"/>
  <c r="M134" i="14"/>
  <c r="M129" i="14"/>
  <c r="M138" i="14"/>
  <c r="M137" i="14"/>
  <c r="M130" i="14"/>
  <c r="M135" i="14"/>
  <c r="M131" i="14"/>
  <c r="M126" i="14"/>
  <c r="M136" i="14"/>
  <c r="M127" i="14"/>
  <c r="N132" i="14"/>
  <c r="N133" i="14"/>
  <c r="N134" i="14"/>
  <c r="N129" i="14"/>
  <c r="N138" i="14"/>
  <c r="N137" i="14"/>
  <c r="N130" i="14"/>
  <c r="N135" i="14"/>
  <c r="N131" i="14"/>
  <c r="N126" i="14"/>
  <c r="N136" i="14"/>
  <c r="N127" i="14"/>
  <c r="E127" i="14"/>
  <c r="E136" i="14"/>
  <c r="E126" i="14"/>
  <c r="E131" i="14"/>
  <c r="E135" i="14"/>
  <c r="E130" i="14"/>
  <c r="E137" i="14"/>
  <c r="E138" i="14"/>
  <c r="E129" i="14"/>
  <c r="E134" i="14"/>
  <c r="E133" i="14"/>
  <c r="E132" i="14"/>
  <c r="L117" i="14"/>
  <c r="L118" i="14"/>
  <c r="L119" i="14"/>
  <c r="L114" i="14"/>
  <c r="L123" i="14"/>
  <c r="L122" i="14"/>
  <c r="L115" i="14"/>
  <c r="L120" i="14"/>
  <c r="L116" i="14"/>
  <c r="L111" i="14"/>
  <c r="L121" i="14"/>
  <c r="L112" i="14"/>
  <c r="M117" i="14"/>
  <c r="M118" i="14"/>
  <c r="M119" i="14"/>
  <c r="M114" i="14"/>
  <c r="M123" i="14"/>
  <c r="M122" i="14"/>
  <c r="M115" i="14"/>
  <c r="M120" i="14"/>
  <c r="M116" i="14"/>
  <c r="M111" i="14"/>
  <c r="M121" i="14"/>
  <c r="M112" i="14"/>
  <c r="N117" i="14"/>
  <c r="N118" i="14"/>
  <c r="N119" i="14"/>
  <c r="N114" i="14"/>
  <c r="N123" i="14"/>
  <c r="N122" i="14"/>
  <c r="N115" i="14"/>
  <c r="N120" i="14"/>
  <c r="N116" i="14"/>
  <c r="N111" i="14"/>
  <c r="N121" i="14"/>
  <c r="N112" i="14"/>
  <c r="E112" i="14"/>
  <c r="E121" i="14"/>
  <c r="E111" i="14"/>
  <c r="E116" i="14"/>
  <c r="E120" i="14"/>
  <c r="E115" i="14"/>
  <c r="E122" i="14"/>
  <c r="E123" i="14"/>
  <c r="E114" i="14"/>
  <c r="E119" i="14"/>
  <c r="E118" i="14"/>
  <c r="E117" i="14"/>
  <c r="L102" i="14"/>
  <c r="L103" i="14"/>
  <c r="L104" i="14"/>
  <c r="L99" i="14"/>
  <c r="L108" i="14"/>
  <c r="L107" i="14"/>
  <c r="L100" i="14"/>
  <c r="L105" i="14"/>
  <c r="L101" i="14"/>
  <c r="L96" i="14"/>
  <c r="L106" i="14"/>
  <c r="L97" i="14"/>
  <c r="M102" i="14"/>
  <c r="M103" i="14"/>
  <c r="M104" i="14"/>
  <c r="M99" i="14"/>
  <c r="M108" i="14"/>
  <c r="M107" i="14"/>
  <c r="M100" i="14"/>
  <c r="M105" i="14"/>
  <c r="M101" i="14"/>
  <c r="M96" i="14"/>
  <c r="M106" i="14"/>
  <c r="M97" i="14"/>
  <c r="N102" i="14"/>
  <c r="N103" i="14"/>
  <c r="N104" i="14"/>
  <c r="N99" i="14"/>
  <c r="N108" i="14"/>
  <c r="N107" i="14"/>
  <c r="N100" i="14"/>
  <c r="N105" i="14"/>
  <c r="N101" i="14"/>
  <c r="N96" i="14"/>
  <c r="N106" i="14"/>
  <c r="N97" i="14"/>
  <c r="E97" i="14"/>
  <c r="E106" i="14"/>
  <c r="E96" i="14"/>
  <c r="E101" i="14"/>
  <c r="E105" i="14"/>
  <c r="E100" i="14"/>
  <c r="E107" i="14"/>
  <c r="E108" i="14"/>
  <c r="E99" i="14"/>
  <c r="E104" i="14"/>
  <c r="E103" i="14"/>
  <c r="E102" i="14"/>
  <c r="L87" i="14"/>
  <c r="L88" i="14"/>
  <c r="L89" i="14"/>
  <c r="L84" i="14"/>
  <c r="L93" i="14"/>
  <c r="L92" i="14"/>
  <c r="L85" i="14"/>
  <c r="L90" i="14"/>
  <c r="L86" i="14"/>
  <c r="L81" i="14"/>
  <c r="L91" i="14"/>
  <c r="L82" i="14"/>
  <c r="M87" i="14"/>
  <c r="M88" i="14"/>
  <c r="M89" i="14"/>
  <c r="M84" i="14"/>
  <c r="M93" i="14"/>
  <c r="M92" i="14"/>
  <c r="M85" i="14"/>
  <c r="M90" i="14"/>
  <c r="M86" i="14"/>
  <c r="M81" i="14"/>
  <c r="M91" i="14"/>
  <c r="M82" i="14"/>
  <c r="N87" i="14"/>
  <c r="N88" i="14"/>
  <c r="N89" i="14"/>
  <c r="N84" i="14"/>
  <c r="N93" i="14"/>
  <c r="N92" i="14"/>
  <c r="N85" i="14"/>
  <c r="N90" i="14"/>
  <c r="N86" i="14"/>
  <c r="N81" i="14"/>
  <c r="N91" i="14"/>
  <c r="N82" i="14"/>
  <c r="E82" i="14"/>
  <c r="E91" i="14"/>
  <c r="E81" i="14"/>
  <c r="E86" i="14"/>
  <c r="E90" i="14"/>
  <c r="E85" i="14"/>
  <c r="E92" i="14"/>
  <c r="E93" i="14"/>
  <c r="E84" i="14"/>
  <c r="E89" i="14"/>
  <c r="E88" i="14"/>
  <c r="E87" i="14"/>
  <c r="L226" i="14"/>
  <c r="M226" i="14"/>
  <c r="N226" i="14"/>
  <c r="E226" i="14"/>
  <c r="L211" i="14"/>
  <c r="M211" i="14"/>
  <c r="N211" i="14"/>
  <c r="E211" i="14"/>
  <c r="E198" i="14"/>
  <c r="L198" i="14"/>
  <c r="M198" i="14"/>
  <c r="N198" i="14"/>
  <c r="L183" i="14"/>
  <c r="M183" i="14"/>
  <c r="N183" i="14"/>
  <c r="E183" i="14"/>
  <c r="L169" i="14"/>
  <c r="L170" i="14"/>
  <c r="M169" i="14"/>
  <c r="M170" i="14"/>
  <c r="N169" i="14"/>
  <c r="N170" i="14"/>
  <c r="E170" i="14"/>
  <c r="E169" i="14"/>
  <c r="L154" i="14"/>
  <c r="L155" i="14"/>
  <c r="M154" i="14"/>
  <c r="M155" i="14"/>
  <c r="N154" i="14"/>
  <c r="N155" i="14"/>
  <c r="E155" i="14"/>
  <c r="E154" i="14"/>
  <c r="L139" i="14"/>
  <c r="L140" i="14"/>
  <c r="M139" i="14"/>
  <c r="M140" i="14"/>
  <c r="N139" i="14"/>
  <c r="N140" i="14"/>
  <c r="E140" i="14"/>
  <c r="E139" i="14"/>
  <c r="L124" i="14"/>
  <c r="L125" i="14"/>
  <c r="M124" i="14"/>
  <c r="M125" i="14"/>
  <c r="N124" i="14"/>
  <c r="N125" i="14"/>
  <c r="E125" i="14"/>
  <c r="E124" i="14"/>
  <c r="L109" i="14"/>
  <c r="L110" i="14"/>
  <c r="M109" i="14"/>
  <c r="M110" i="14"/>
  <c r="N109" i="14"/>
  <c r="N110" i="14"/>
  <c r="E110" i="14"/>
  <c r="E109" i="14"/>
  <c r="L94" i="14"/>
  <c r="L95" i="14"/>
  <c r="M94" i="14"/>
  <c r="M95" i="14"/>
  <c r="N94" i="14"/>
  <c r="N95" i="14"/>
  <c r="E95" i="14"/>
  <c r="E94" i="14"/>
  <c r="L79" i="14"/>
  <c r="L80" i="14"/>
  <c r="M79" i="14"/>
  <c r="M80" i="14"/>
  <c r="N79" i="14"/>
  <c r="N80" i="14"/>
  <c r="E80" i="14"/>
  <c r="E79" i="14"/>
  <c r="L47" i="14"/>
  <c r="M47" i="14"/>
  <c r="N47" i="14"/>
  <c r="E47" i="14"/>
  <c r="F7" i="18"/>
  <c r="F8" i="18"/>
  <c r="F5" i="18"/>
  <c r="L65" i="14"/>
  <c r="M65" i="14"/>
  <c r="N65" i="14"/>
  <c r="E65" i="14"/>
  <c r="E7" i="18"/>
  <c r="E8" i="18"/>
  <c r="E5" i="18"/>
  <c r="L68" i="14"/>
  <c r="M68" i="14"/>
  <c r="N68" i="14"/>
  <c r="E68" i="14"/>
  <c r="L50" i="14"/>
  <c r="M50" i="14"/>
  <c r="N50" i="14"/>
  <c r="E50" i="14"/>
  <c r="L30" i="14"/>
  <c r="M30" i="14"/>
  <c r="N30" i="14"/>
  <c r="E30" i="14"/>
  <c r="L29" i="14"/>
  <c r="M29" i="14"/>
  <c r="N29" i="14"/>
  <c r="E29" i="14"/>
  <c r="L61" i="14"/>
  <c r="L62" i="14"/>
  <c r="L72" i="14"/>
  <c r="L73" i="14"/>
  <c r="L74" i="14"/>
  <c r="L69" i="14"/>
  <c r="L78" i="14"/>
  <c r="L77" i="14"/>
  <c r="L70" i="14"/>
  <c r="L67" i="14"/>
  <c r="L75" i="14"/>
  <c r="L71" i="14"/>
  <c r="L63" i="14"/>
  <c r="L76" i="14"/>
  <c r="L64" i="14"/>
  <c r="M61" i="14"/>
  <c r="M62" i="14"/>
  <c r="M72" i="14"/>
  <c r="M73" i="14"/>
  <c r="M74" i="14"/>
  <c r="M69" i="14"/>
  <c r="M78" i="14"/>
  <c r="M77" i="14"/>
  <c r="M70" i="14"/>
  <c r="M67" i="14"/>
  <c r="M75" i="14"/>
  <c r="M71" i="14"/>
  <c r="M63" i="14"/>
  <c r="M76" i="14"/>
  <c r="M64" i="14"/>
  <c r="N61" i="14"/>
  <c r="N62" i="14"/>
  <c r="N72" i="14"/>
  <c r="N73" i="14"/>
  <c r="N74" i="14"/>
  <c r="N69" i="14"/>
  <c r="N78" i="14"/>
  <c r="N77" i="14"/>
  <c r="N70" i="14"/>
  <c r="N67" i="14"/>
  <c r="N75" i="14"/>
  <c r="N71" i="14"/>
  <c r="N63" i="14"/>
  <c r="N76" i="14"/>
  <c r="N64" i="14"/>
  <c r="E64" i="14"/>
  <c r="E76" i="14"/>
  <c r="E63" i="14"/>
  <c r="E71" i="14"/>
  <c r="E75" i="14"/>
  <c r="E67" i="14"/>
  <c r="E70" i="14"/>
  <c r="E77" i="14"/>
  <c r="E78" i="14"/>
  <c r="E69" i="14"/>
  <c r="E74" i="14"/>
  <c r="E73" i="14"/>
  <c r="E72" i="14"/>
  <c r="E62" i="14"/>
  <c r="E61" i="14"/>
  <c r="L43" i="14"/>
  <c r="L44" i="14"/>
  <c r="L54" i="14"/>
  <c r="L55" i="14"/>
  <c r="L56" i="14"/>
  <c r="L51" i="14"/>
  <c r="L60" i="14"/>
  <c r="L59" i="14"/>
  <c r="L45" i="14"/>
  <c r="L52" i="14"/>
  <c r="L49" i="14"/>
  <c r="L57" i="14"/>
  <c r="L53" i="14"/>
  <c r="L46" i="14"/>
  <c r="L58" i="14"/>
  <c r="M43" i="14"/>
  <c r="M44" i="14"/>
  <c r="M54" i="14"/>
  <c r="M55" i="14"/>
  <c r="M56" i="14"/>
  <c r="M51" i="14"/>
  <c r="M60" i="14"/>
  <c r="M59" i="14"/>
  <c r="M45" i="14"/>
  <c r="M52" i="14"/>
  <c r="M49" i="14"/>
  <c r="M57" i="14"/>
  <c r="M53" i="14"/>
  <c r="M46" i="14"/>
  <c r="M58" i="14"/>
  <c r="N43" i="14"/>
  <c r="N44" i="14"/>
  <c r="N54" i="14"/>
  <c r="N55" i="14"/>
  <c r="N56" i="14"/>
  <c r="N51" i="14"/>
  <c r="N60" i="14"/>
  <c r="N59" i="14"/>
  <c r="N45" i="14"/>
  <c r="N52" i="14"/>
  <c r="N49" i="14"/>
  <c r="N57" i="14"/>
  <c r="N53" i="14"/>
  <c r="N46" i="14"/>
  <c r="N58" i="14"/>
  <c r="E58" i="14"/>
  <c r="E46" i="14"/>
  <c r="E53" i="14"/>
  <c r="E57" i="14"/>
  <c r="E49" i="14"/>
  <c r="E52" i="14"/>
  <c r="E45" i="14"/>
  <c r="E59" i="14"/>
  <c r="E60" i="14"/>
  <c r="E51" i="14"/>
  <c r="E56" i="14"/>
  <c r="E55" i="14"/>
  <c r="E54" i="14"/>
  <c r="E44" i="14"/>
  <c r="E43" i="14"/>
  <c r="E21" i="14"/>
  <c r="E22" i="14"/>
  <c r="E34" i="14"/>
  <c r="E35" i="14"/>
  <c r="E36" i="14"/>
  <c r="E31" i="14"/>
  <c r="E41" i="14"/>
  <c r="E40" i="14"/>
  <c r="E23" i="14"/>
  <c r="E24" i="14"/>
  <c r="E32" i="14"/>
  <c r="E28" i="14"/>
  <c r="E37" i="14"/>
  <c r="E38" i="14"/>
  <c r="E33" i="14"/>
  <c r="E25" i="14"/>
  <c r="E39" i="14"/>
  <c r="E26" i="14"/>
  <c r="E42" i="14"/>
  <c r="L21" i="14"/>
  <c r="L22" i="14"/>
  <c r="L34" i="14"/>
  <c r="L35" i="14"/>
  <c r="L36" i="14"/>
  <c r="L31" i="14"/>
  <c r="L41" i="14"/>
  <c r="L40" i="14"/>
  <c r="L23" i="14"/>
  <c r="L24" i="14"/>
  <c r="L32" i="14"/>
  <c r="L28" i="14"/>
  <c r="L37" i="14"/>
  <c r="L38" i="14"/>
  <c r="L33" i="14"/>
  <c r="L25" i="14"/>
  <c r="L39" i="14"/>
  <c r="L26" i="14"/>
  <c r="L42" i="14"/>
  <c r="M21" i="14"/>
  <c r="M22" i="14"/>
  <c r="M34" i="14"/>
  <c r="M35" i="14"/>
  <c r="M36" i="14"/>
  <c r="M31" i="14"/>
  <c r="M41" i="14"/>
  <c r="M40" i="14"/>
  <c r="M23" i="14"/>
  <c r="M24" i="14"/>
  <c r="M32" i="14"/>
  <c r="M28" i="14"/>
  <c r="M37" i="14"/>
  <c r="M38" i="14"/>
  <c r="M33" i="14"/>
  <c r="M25" i="14"/>
  <c r="M39" i="14"/>
  <c r="M26" i="14"/>
  <c r="M42" i="14"/>
  <c r="N21" i="14"/>
  <c r="N22" i="14"/>
  <c r="N34" i="14"/>
  <c r="N35" i="14"/>
  <c r="N36" i="14"/>
  <c r="N31" i="14"/>
  <c r="N41" i="14"/>
  <c r="N40" i="14"/>
  <c r="N23" i="14"/>
  <c r="N24" i="14"/>
  <c r="N32" i="14"/>
  <c r="N28" i="14"/>
  <c r="N37" i="14"/>
  <c r="N38" i="14"/>
  <c r="N33" i="14"/>
  <c r="N25" i="14"/>
  <c r="N39" i="14"/>
  <c r="N26" i="14"/>
  <c r="N42" i="14"/>
  <c r="N20" i="14"/>
  <c r="M20" i="14"/>
  <c r="L20" i="14"/>
  <c r="N19" i="14"/>
  <c r="M19" i="14"/>
  <c r="L19" i="14"/>
  <c r="N18" i="14"/>
  <c r="M18" i="14"/>
  <c r="L18" i="14"/>
  <c r="N17" i="14"/>
  <c r="M17" i="14"/>
  <c r="L17" i="14"/>
  <c r="G3" i="14"/>
  <c r="N16" i="14"/>
  <c r="M16" i="14"/>
  <c r="L16" i="14"/>
  <c r="N15" i="14"/>
  <c r="M15" i="14"/>
  <c r="L15" i="14"/>
  <c r="N14" i="14"/>
  <c r="M14" i="14"/>
  <c r="L14" i="14"/>
  <c r="N13" i="14"/>
  <c r="M13" i="14"/>
  <c r="L13" i="14"/>
  <c r="N12" i="14"/>
  <c r="M12" i="14"/>
  <c r="L12" i="14"/>
  <c r="L11" i="14"/>
  <c r="M11" i="14"/>
  <c r="N11" i="14"/>
  <c r="L10" i="14"/>
  <c r="M10" i="14"/>
  <c r="N10" i="14"/>
  <c r="L9" i="14"/>
  <c r="M9" i="14"/>
  <c r="N9" i="14"/>
  <c r="L8" i="14"/>
  <c r="M8" i="14"/>
  <c r="N8" i="14"/>
  <c r="L7" i="14"/>
  <c r="M7" i="14"/>
  <c r="N7" i="14"/>
  <c r="N5" i="14"/>
  <c r="N6" i="14"/>
  <c r="M5" i="14"/>
  <c r="M6" i="14"/>
  <c r="L5" i="14"/>
  <c r="L6" i="14"/>
  <c r="N6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B81" i="12" s="1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E31" i="12"/>
  <c r="E32" i="12"/>
  <c r="E33" i="12"/>
  <c r="B33" i="12" s="1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B49" i="12" s="1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B65" i="12" s="1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B97" i="12" s="1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B113" i="12" s="1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B129" i="12" s="1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B145" i="12" s="1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B161" i="12" s="1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B177" i="12" s="1"/>
  <c r="E178" i="12"/>
  <c r="E179" i="12"/>
  <c r="E180" i="12"/>
  <c r="E181" i="12"/>
  <c r="E182" i="12"/>
  <c r="E183" i="12"/>
  <c r="E184" i="12"/>
  <c r="E185" i="12"/>
  <c r="E186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9" i="12"/>
  <c r="D9" i="12"/>
  <c r="B19" i="8" a="1"/>
  <c r="C19" i="8" a="1"/>
  <c r="D19" i="8" a="1"/>
  <c r="E19" i="8" a="1"/>
  <c r="F19" i="8" a="1"/>
  <c r="G19" i="8" a="1"/>
  <c r="H19" i="8" a="1"/>
  <c r="I19" i="8" a="1"/>
  <c r="K19" i="8" a="1"/>
  <c r="L19" i="8" a="1"/>
  <c r="M19" i="8" a="1"/>
  <c r="B17" i="8" a="1"/>
  <c r="C17" i="8" a="1"/>
  <c r="D17" i="8" a="1"/>
  <c r="E17" i="8" a="1"/>
  <c r="F17" i="8" a="1"/>
  <c r="G17" i="8" a="1"/>
  <c r="H17" i="8" a="1"/>
  <c r="I17" i="8" a="1"/>
  <c r="K17" i="8" a="1"/>
  <c r="L17" i="8" a="1"/>
  <c r="M17" i="8" a="1"/>
  <c r="M9" i="8" a="1"/>
  <c r="L9" i="8" a="1"/>
  <c r="K9" i="8" a="1"/>
  <c r="I9" i="8" a="1"/>
  <c r="H9" i="8" a="1"/>
  <c r="G9" i="8" a="1"/>
  <c r="F9" i="8" a="1"/>
  <c r="E9" i="8" a="1"/>
  <c r="D9" i="8" a="1"/>
  <c r="C9" i="8" a="1"/>
  <c r="B9" i="8" a="1"/>
  <c r="M12" i="8" a="1"/>
  <c r="L12" i="8" a="1"/>
  <c r="K12" i="8" a="1"/>
  <c r="I12" i="8" a="1"/>
  <c r="H12" i="8" a="1"/>
  <c r="G12" i="8" a="1"/>
  <c r="F12" i="8" a="1"/>
  <c r="E12" i="8" a="1"/>
  <c r="D12" i="8" a="1"/>
  <c r="C12" i="8" a="1"/>
  <c r="B12" i="8" a="1"/>
  <c r="M11" i="8" a="1"/>
  <c r="L11" i="8" a="1"/>
  <c r="K11" i="8" a="1"/>
  <c r="I11" i="8" a="1"/>
  <c r="H11" i="8" a="1"/>
  <c r="G11" i="8" a="1"/>
  <c r="F11" i="8" a="1"/>
  <c r="E11" i="8" a="1"/>
  <c r="D11" i="8" a="1"/>
  <c r="C11" i="8" a="1"/>
  <c r="B11" i="8" a="1"/>
  <c r="M10" i="8" a="1"/>
  <c r="L10" i="8" a="1"/>
  <c r="K10" i="8" a="1"/>
  <c r="I10" i="8" a="1"/>
  <c r="H10" i="8" a="1"/>
  <c r="G10" i="8" a="1"/>
  <c r="F10" i="8" a="1"/>
  <c r="E10" i="8" a="1"/>
  <c r="D10" i="8" a="1"/>
  <c r="C10" i="8" a="1"/>
  <c r="B10" i="8" a="1"/>
  <c r="M8" i="8" a="1"/>
  <c r="L8" i="8" a="1"/>
  <c r="K8" i="8" a="1"/>
  <c r="I8" i="8" a="1"/>
  <c r="H8" i="8" a="1"/>
  <c r="G8" i="8" a="1"/>
  <c r="F8" i="8" a="1"/>
  <c r="E8" i="8" a="1"/>
  <c r="D8" i="8" a="1"/>
  <c r="C8" i="8" a="1"/>
  <c r="B8" i="8" a="1"/>
  <c r="M4" i="8" a="1"/>
  <c r="L4" i="8" a="1"/>
  <c r="K4" i="8" a="1"/>
  <c r="I4" i="8" a="1"/>
  <c r="H4" i="8" a="1"/>
  <c r="G4" i="8" a="1"/>
  <c r="F4" i="8" a="1"/>
  <c r="E4" i="8" a="1"/>
  <c r="D4" i="8" a="1"/>
  <c r="C4" i="8" a="1"/>
  <c r="B4" i="8" a="1"/>
  <c r="M3" i="8" a="1"/>
  <c r="L3" i="8" a="1"/>
  <c r="K3" i="8" a="1"/>
  <c r="I3" i="8" a="1"/>
  <c r="H3" i="8" a="1"/>
  <c r="G3" i="8" a="1"/>
  <c r="F3" i="8" a="1"/>
  <c r="E3" i="8" a="1"/>
  <c r="D3" i="8" a="1"/>
  <c r="C3" i="8" a="1"/>
  <c r="B3" i="8" a="1"/>
  <c r="M7" i="8" a="1"/>
  <c r="L7" i="8" a="1"/>
  <c r="K7" i="8" a="1"/>
  <c r="I7" i="8" a="1"/>
  <c r="H7" i="8" a="1"/>
  <c r="G7" i="8" a="1"/>
  <c r="F7" i="8" a="1"/>
  <c r="E7" i="8" a="1"/>
  <c r="D7" i="8" a="1"/>
  <c r="C7" i="8" a="1"/>
  <c r="B7" i="8" a="1"/>
  <c r="M5" i="8" a="1"/>
  <c r="L5" i="8" a="1"/>
  <c r="K5" i="8" a="1"/>
  <c r="I5" i="8" a="1"/>
  <c r="H5" i="8" a="1"/>
  <c r="G5" i="8" a="1"/>
  <c r="F5" i="8" a="1"/>
  <c r="E5" i="8" a="1"/>
  <c r="D5" i="8" a="1"/>
  <c r="C5" i="8" a="1"/>
  <c r="B5" i="8" a="1"/>
  <c r="M14" i="8" a="1"/>
  <c r="L14" i="8" a="1"/>
  <c r="K14" i="8" a="1"/>
  <c r="I14" i="8" a="1"/>
  <c r="H14" i="8" a="1"/>
  <c r="G14" i="8" a="1"/>
  <c r="F14" i="8" a="1"/>
  <c r="E14" i="8" a="1"/>
  <c r="D14" i="8" a="1"/>
  <c r="C14" i="8" a="1"/>
  <c r="B14" i="8" a="1"/>
  <c r="M6" i="8" a="1"/>
  <c r="L6" i="8" a="1"/>
  <c r="K6" i="8" a="1"/>
  <c r="I6" i="8" a="1"/>
  <c r="H6" i="8" a="1"/>
  <c r="G6" i="8" a="1"/>
  <c r="F6" i="8" a="1"/>
  <c r="E6" i="8" a="1"/>
  <c r="D6" i="8" a="1"/>
  <c r="C6" i="8" a="1"/>
  <c r="B6" i="8" a="1"/>
  <c r="M2" i="8" a="1"/>
  <c r="L2" i="8" a="1"/>
  <c r="K2" i="8" a="1"/>
  <c r="I2" i="8" a="1"/>
  <c r="H2" i="8" a="1"/>
  <c r="G2" i="8" a="1"/>
  <c r="F2" i="8" a="1"/>
  <c r="E2" i="8" a="1"/>
  <c r="D2" i="8" a="1"/>
  <c r="C2" i="8" a="1"/>
  <c r="B2" i="8" a="1"/>
  <c r="M15" i="8" a="1"/>
  <c r="L15" i="8" a="1"/>
  <c r="K15" i="8" a="1"/>
  <c r="I15" i="8" a="1"/>
  <c r="H15" i="8" a="1"/>
  <c r="G15" i="8" a="1"/>
  <c r="F15" i="8" a="1"/>
  <c r="E15" i="8" a="1"/>
  <c r="D15" i="8" a="1"/>
  <c r="C15" i="8" a="1"/>
  <c r="B15" i="8" a="1"/>
  <c r="M13" i="8" a="1"/>
  <c r="L13" i="8" a="1"/>
  <c r="K13" i="8" a="1"/>
  <c r="I13" i="8" a="1"/>
  <c r="H13" i="8" a="1"/>
  <c r="G13" i="8" a="1"/>
  <c r="F13" i="8" a="1"/>
  <c r="E13" i="8" a="1"/>
  <c r="D13" i="8" a="1"/>
  <c r="C13" i="8" a="1"/>
  <c r="B13" i="8" a="1"/>
  <c r="M16" i="8" a="1"/>
  <c r="L16" i="8" a="1"/>
  <c r="K16" i="8" a="1"/>
  <c r="I16" i="8" a="1"/>
  <c r="H16" i="8" a="1"/>
  <c r="G16" i="8" a="1"/>
  <c r="F16" i="8" a="1"/>
  <c r="E16" i="8" a="1"/>
  <c r="D16" i="8" a="1"/>
  <c r="C16" i="8" a="1"/>
  <c r="B16" i="8" a="1"/>
  <c r="M18" i="8" a="1"/>
  <c r="L18" i="8" a="1"/>
  <c r="K18" i="8" a="1"/>
  <c r="I18" i="8" a="1"/>
  <c r="H18" i="8" a="1"/>
  <c r="G18" i="8" a="1"/>
  <c r="F18" i="8" a="1"/>
  <c r="E18" i="8" a="1"/>
  <c r="D18" i="8" a="1"/>
  <c r="C18" i="8" a="1"/>
  <c r="B18" i="8" a="1"/>
  <c r="E441" i="14" l="1"/>
  <c r="E440" i="14"/>
  <c r="Q439" i="14"/>
  <c r="R439" i="14" s="1"/>
  <c r="S439" i="14" s="1"/>
  <c r="T439" i="14"/>
  <c r="T441" i="14"/>
  <c r="Q443" i="14"/>
  <c r="R443" i="14" s="1"/>
  <c r="S443" i="14" s="1"/>
  <c r="T443" i="14"/>
  <c r="E443" i="14"/>
  <c r="Q438" i="14"/>
  <c r="R438" i="14" s="1"/>
  <c r="S438" i="14" s="1"/>
  <c r="T438" i="14"/>
  <c r="E438" i="14"/>
  <c r="Q442" i="14"/>
  <c r="R442" i="14" s="1"/>
  <c r="S442" i="14" s="1"/>
  <c r="Q440" i="14"/>
  <c r="R440" i="14" s="1"/>
  <c r="S440" i="14" s="1"/>
  <c r="E439" i="14"/>
  <c r="T442" i="14"/>
  <c r="E442" i="14"/>
  <c r="Q441" i="14"/>
  <c r="R441" i="14" s="1"/>
  <c r="T440" i="14"/>
  <c r="O443" i="14"/>
  <c r="P443" i="14" s="1"/>
  <c r="O442" i="14"/>
  <c r="P442" i="14" s="1"/>
  <c r="O438" i="14"/>
  <c r="P438" i="14" s="1"/>
  <c r="O84" i="14"/>
  <c r="P84" i="14" s="1"/>
  <c r="O82" i="14"/>
  <c r="P82" i="14" s="1"/>
  <c r="O81" i="14"/>
  <c r="P81" i="14" s="1"/>
  <c r="O344" i="14"/>
  <c r="P344" i="14" s="1"/>
  <c r="O440" i="14"/>
  <c r="P440" i="14" s="1"/>
  <c r="O441" i="14"/>
  <c r="P441" i="14" s="1"/>
  <c r="O439" i="14"/>
  <c r="P439" i="14" s="1"/>
  <c r="O211" i="14"/>
  <c r="P211" i="14" s="1"/>
  <c r="O352" i="14"/>
  <c r="P352" i="14" s="1"/>
  <c r="U443" i="14"/>
  <c r="U438" i="14"/>
  <c r="U442" i="14"/>
  <c r="U440" i="14"/>
  <c r="U439" i="14"/>
  <c r="O69" i="14"/>
  <c r="P69" i="14" s="1"/>
  <c r="O72" i="14"/>
  <c r="P72" i="14" s="1"/>
  <c r="O57" i="14"/>
  <c r="P57" i="14" s="1"/>
  <c r="O22" i="14"/>
  <c r="P22" i="14" s="1"/>
  <c r="O20" i="14"/>
  <c r="P20" i="14" s="1"/>
  <c r="O18" i="14"/>
  <c r="P18" i="14" s="1"/>
  <c r="O17" i="14"/>
  <c r="P17" i="14" s="1"/>
  <c r="O16" i="14"/>
  <c r="P16" i="14" s="1"/>
  <c r="O50" i="14"/>
  <c r="P50" i="14" s="1"/>
  <c r="O30" i="14"/>
  <c r="P30" i="14" s="1"/>
  <c r="O29" i="14"/>
  <c r="P29" i="14" s="1"/>
  <c r="O68" i="14"/>
  <c r="P68" i="14" s="1"/>
  <c r="O49" i="14"/>
  <c r="P49" i="14" s="1"/>
  <c r="O28" i="14"/>
  <c r="P28" i="14" s="1"/>
  <c r="O67" i="14"/>
  <c r="P67" i="14" s="1"/>
  <c r="O85" i="14"/>
  <c r="P85" i="14" s="1"/>
  <c r="O70" i="14"/>
  <c r="P70" i="14" s="1"/>
  <c r="O92" i="14"/>
  <c r="P92" i="14" s="1"/>
  <c r="O77" i="14"/>
  <c r="P77" i="14" s="1"/>
  <c r="O78" i="14"/>
  <c r="P78" i="14" s="1"/>
  <c r="O93" i="14"/>
  <c r="P93" i="14" s="1"/>
  <c r="O197" i="14"/>
  <c r="P197" i="14" s="1"/>
  <c r="O89" i="14"/>
  <c r="P89" i="14" s="1"/>
  <c r="O74" i="14"/>
  <c r="P74" i="14" s="1"/>
  <c r="O87" i="14"/>
  <c r="P87" i="14" s="1"/>
  <c r="O88" i="14"/>
  <c r="P88" i="14" s="1"/>
  <c r="O73" i="14"/>
  <c r="P73" i="14" s="1"/>
  <c r="O80" i="14"/>
  <c r="P80" i="14" s="1"/>
  <c r="O44" i="14"/>
  <c r="P44" i="14" s="1"/>
  <c r="O62" i="14"/>
  <c r="P62" i="14" s="1"/>
  <c r="O198" i="14"/>
  <c r="P198" i="14" s="1"/>
  <c r="O94" i="14"/>
  <c r="P94" i="14" s="1"/>
  <c r="O79" i="14"/>
  <c r="P79" i="14" s="1"/>
  <c r="O90" i="14"/>
  <c r="P90" i="14" s="1"/>
  <c r="O75" i="14"/>
  <c r="P75" i="14" s="1"/>
  <c r="O91" i="14"/>
  <c r="P91" i="14" s="1"/>
  <c r="O76" i="14"/>
  <c r="P76" i="14" s="1"/>
  <c r="O71" i="14"/>
  <c r="P71" i="14" s="1"/>
  <c r="O86" i="14"/>
  <c r="P86" i="14" s="1"/>
  <c r="O65" i="14"/>
  <c r="P65" i="14" s="1"/>
  <c r="O43" i="14"/>
  <c r="P43" i="14" s="1"/>
  <c r="O61" i="14"/>
  <c r="P61" i="14" s="1"/>
  <c r="O38" i="14"/>
  <c r="P38" i="14" s="1"/>
  <c r="O42" i="14"/>
  <c r="P42" i="14" s="1"/>
  <c r="O41" i="14"/>
  <c r="P41" i="14" s="1"/>
  <c r="O60" i="14"/>
  <c r="P60" i="14" s="1"/>
  <c r="O51" i="14"/>
  <c r="P51" i="14" s="1"/>
  <c r="O31" i="14"/>
  <c r="P31" i="14" s="1"/>
  <c r="O36" i="14"/>
  <c r="P36" i="14" s="1"/>
  <c r="O56" i="14"/>
  <c r="P56" i="14" s="1"/>
  <c r="O35" i="14"/>
  <c r="P35" i="14" s="1"/>
  <c r="O55" i="14"/>
  <c r="P55" i="14" s="1"/>
  <c r="O34" i="14"/>
  <c r="P34" i="14" s="1"/>
  <c r="O54" i="14"/>
  <c r="P54" i="14" s="1"/>
  <c r="O47" i="14"/>
  <c r="P47" i="14" s="1"/>
  <c r="O26" i="14"/>
  <c r="P26" i="14" s="1"/>
  <c r="O64" i="14"/>
  <c r="P64" i="14" s="1"/>
  <c r="O39" i="14"/>
  <c r="P39" i="14" s="1"/>
  <c r="O58" i="14"/>
  <c r="P58" i="14" s="1"/>
  <c r="O25" i="14"/>
  <c r="P25" i="14" s="1"/>
  <c r="O46" i="14"/>
  <c r="P46" i="14" s="1"/>
  <c r="O63" i="14"/>
  <c r="P63" i="14" s="1"/>
  <c r="O53" i="14"/>
  <c r="P53" i="14" s="1"/>
  <c r="O33" i="14"/>
  <c r="P33" i="14" s="1"/>
  <c r="O52" i="14"/>
  <c r="P52" i="14" s="1"/>
  <c r="O32" i="14"/>
  <c r="P32" i="14" s="1"/>
  <c r="O40" i="14"/>
  <c r="P40" i="14" s="1"/>
  <c r="O59" i="14"/>
  <c r="P59" i="14" s="1"/>
  <c r="O269" i="14"/>
  <c r="P269" i="14" s="1"/>
  <c r="O21" i="14"/>
  <c r="P21" i="14" s="1"/>
  <c r="O15" i="14"/>
  <c r="P15" i="14" s="1"/>
  <c r="O11" i="14"/>
  <c r="P11" i="14" s="1"/>
  <c r="O13" i="14"/>
  <c r="P13" i="14" s="1"/>
  <c r="O8" i="14"/>
  <c r="P8" i="14" s="1"/>
  <c r="O6" i="14"/>
  <c r="P6" i="14" s="1"/>
  <c r="O9" i="14"/>
  <c r="P9" i="14" s="1"/>
  <c r="O14" i="14"/>
  <c r="P14" i="14" s="1"/>
  <c r="O7" i="14"/>
  <c r="P7" i="14" s="1"/>
  <c r="O5" i="14"/>
  <c r="P5" i="14" s="1"/>
  <c r="O12" i="14"/>
  <c r="P12" i="14" s="1"/>
  <c r="O10" i="14"/>
  <c r="P10" i="14" s="1"/>
  <c r="E437" i="14"/>
  <c r="Q437" i="14"/>
  <c r="R437" i="14" s="1"/>
  <c r="S437" i="14" s="1"/>
  <c r="T437" i="14"/>
  <c r="E431" i="14"/>
  <c r="E432" i="14"/>
  <c r="E433" i="14"/>
  <c r="E434" i="14"/>
  <c r="E435" i="14"/>
  <c r="E436" i="14"/>
  <c r="Q436" i="14"/>
  <c r="R436" i="14" s="1"/>
  <c r="S436" i="14" s="1"/>
  <c r="T436" i="14"/>
  <c r="Q435" i="14"/>
  <c r="R435" i="14" s="1"/>
  <c r="S435" i="14" s="1"/>
  <c r="T435" i="14"/>
  <c r="Q434" i="14"/>
  <c r="R434" i="14" s="1"/>
  <c r="S434" i="14" s="1"/>
  <c r="T434" i="14"/>
  <c r="Q433" i="14"/>
  <c r="R433" i="14" s="1"/>
  <c r="S433" i="14" s="1"/>
  <c r="T433" i="14"/>
  <c r="T432" i="14"/>
  <c r="Q432" i="14"/>
  <c r="R432" i="14" s="1"/>
  <c r="S432" i="14" s="1"/>
  <c r="Q431" i="14"/>
  <c r="R431" i="14" s="1"/>
  <c r="S431" i="14" s="1"/>
  <c r="T431" i="14"/>
  <c r="T397" i="14"/>
  <c r="T398" i="14"/>
  <c r="T399" i="14"/>
  <c r="T402" i="14"/>
  <c r="T403" i="14"/>
  <c r="T404" i="14"/>
  <c r="T405" i="14"/>
  <c r="T406" i="14"/>
  <c r="T407" i="14"/>
  <c r="T409" i="14"/>
  <c r="T410" i="14"/>
  <c r="T413" i="14"/>
  <c r="T414" i="14"/>
  <c r="T416" i="14"/>
  <c r="T417" i="14"/>
  <c r="T419" i="14"/>
  <c r="T420" i="14"/>
  <c r="T422" i="14"/>
  <c r="T425" i="14"/>
  <c r="T427" i="14"/>
  <c r="T430" i="14"/>
  <c r="T400" i="14"/>
  <c r="T411" i="14"/>
  <c r="T415" i="14"/>
  <c r="T418" i="14"/>
  <c r="T421" i="14"/>
  <c r="T424" i="14"/>
  <c r="T426" i="14"/>
  <c r="T429" i="14"/>
  <c r="T401" i="14"/>
  <c r="T408" i="14"/>
  <c r="T412" i="14"/>
  <c r="T423" i="14"/>
  <c r="T428" i="14"/>
  <c r="T5" i="14"/>
  <c r="T6" i="14"/>
  <c r="T7" i="14"/>
  <c r="T9" i="14"/>
  <c r="T11" i="14"/>
  <c r="T12" i="14"/>
  <c r="T13" i="14"/>
  <c r="T15" i="14"/>
  <c r="T17" i="14"/>
  <c r="T21" i="14"/>
  <c r="T25" i="14"/>
  <c r="T28" i="14"/>
  <c r="T31" i="14"/>
  <c r="T34" i="14"/>
  <c r="T37" i="14"/>
  <c r="T42" i="14"/>
  <c r="T45" i="14"/>
  <c r="T49" i="14"/>
  <c r="T52" i="14"/>
  <c r="T55" i="14"/>
  <c r="T58" i="14"/>
  <c r="T61" i="14"/>
  <c r="T65" i="14"/>
  <c r="T68" i="14"/>
  <c r="T71" i="14"/>
  <c r="T75" i="14"/>
  <c r="T79" i="14"/>
  <c r="T82" i="14"/>
  <c r="T86" i="14"/>
  <c r="T89" i="14"/>
  <c r="T91" i="14"/>
  <c r="T94" i="14"/>
  <c r="T96" i="14"/>
  <c r="T99" i="14"/>
  <c r="T102" i="14"/>
  <c r="T107" i="14"/>
  <c r="T110" i="14"/>
  <c r="T114" i="14"/>
  <c r="T118" i="14"/>
  <c r="T121" i="14"/>
  <c r="T125" i="14"/>
  <c r="T129" i="14"/>
  <c r="T132" i="14"/>
  <c r="T136" i="14"/>
  <c r="T140" i="14"/>
  <c r="T143" i="14"/>
  <c r="T146" i="14"/>
  <c r="T150" i="14"/>
  <c r="T153" i="14"/>
  <c r="T156" i="14"/>
  <c r="T160" i="14"/>
  <c r="T164" i="14"/>
  <c r="T167" i="14"/>
  <c r="T170" i="14"/>
  <c r="T173" i="14"/>
  <c r="T176" i="14"/>
  <c r="T179" i="14"/>
  <c r="T183" i="14"/>
  <c r="T187" i="14"/>
  <c r="T190" i="14"/>
  <c r="T193" i="14"/>
  <c r="T196" i="14"/>
  <c r="T200" i="14"/>
  <c r="T203" i="14"/>
  <c r="T206" i="14"/>
  <c r="T211" i="14"/>
  <c r="T214" i="14"/>
  <c r="T218" i="14"/>
  <c r="T221" i="14"/>
  <c r="T223" i="14"/>
  <c r="T227" i="14"/>
  <c r="T231" i="14"/>
  <c r="T234" i="14"/>
  <c r="T238" i="14"/>
  <c r="T242" i="14"/>
  <c r="T245" i="14"/>
  <c r="T248" i="14"/>
  <c r="T250" i="14"/>
  <c r="T252" i="14"/>
  <c r="T256" i="14"/>
  <c r="T259" i="14"/>
  <c r="T261" i="14"/>
  <c r="T264" i="14"/>
  <c r="T268" i="14"/>
  <c r="T357" i="14"/>
  <c r="T360" i="14"/>
  <c r="T364" i="14"/>
  <c r="T367" i="14"/>
  <c r="T371" i="14"/>
  <c r="T375" i="14"/>
  <c r="T379" i="14"/>
  <c r="T382" i="14"/>
  <c r="T385" i="14"/>
  <c r="T390" i="14"/>
  <c r="T393" i="14"/>
  <c r="T396" i="14"/>
  <c r="T270" i="14"/>
  <c r="T271" i="14"/>
  <c r="T272" i="14"/>
  <c r="T273" i="14"/>
  <c r="T274" i="14"/>
  <c r="T275" i="14"/>
  <c r="T276" i="14"/>
  <c r="T277" i="14"/>
  <c r="T278" i="14"/>
  <c r="T279" i="14"/>
  <c r="T280" i="14"/>
  <c r="T281" i="14"/>
  <c r="T282" i="14"/>
  <c r="T283" i="14"/>
  <c r="T284" i="14"/>
  <c r="T285" i="14"/>
  <c r="T286" i="14"/>
  <c r="T287" i="14"/>
  <c r="T288" i="14"/>
  <c r="T289" i="14"/>
  <c r="T290" i="14"/>
  <c r="T291" i="14"/>
  <c r="T292" i="14"/>
  <c r="T293" i="14"/>
  <c r="T294" i="14"/>
  <c r="T295" i="14"/>
  <c r="T296" i="14"/>
  <c r="T297" i="14"/>
  <c r="T298" i="14"/>
  <c r="T299" i="14"/>
  <c r="T300" i="14"/>
  <c r="T301" i="14"/>
  <c r="T302" i="14"/>
  <c r="T303" i="14"/>
  <c r="T304" i="14"/>
  <c r="T305" i="14"/>
  <c r="T306" i="14"/>
  <c r="T307" i="14"/>
  <c r="T308" i="14"/>
  <c r="T309" i="14"/>
  <c r="T310" i="14"/>
  <c r="T311" i="14"/>
  <c r="T312" i="14"/>
  <c r="T313" i="14"/>
  <c r="T314" i="14"/>
  <c r="T315" i="14"/>
  <c r="T316" i="14"/>
  <c r="T317" i="14"/>
  <c r="T318" i="14"/>
  <c r="T319" i="14"/>
  <c r="T320" i="14"/>
  <c r="T321" i="14"/>
  <c r="T322" i="14"/>
  <c r="T323" i="14"/>
  <c r="T324" i="14"/>
  <c r="T325" i="14"/>
  <c r="T326" i="14"/>
  <c r="T327" i="14"/>
  <c r="T328" i="14"/>
  <c r="T329" i="14"/>
  <c r="T330" i="14"/>
  <c r="T331" i="14"/>
  <c r="T332" i="14"/>
  <c r="T333" i="14"/>
  <c r="T334" i="14"/>
  <c r="T335" i="14"/>
  <c r="T336" i="14"/>
  <c r="T337" i="14"/>
  <c r="T338" i="14"/>
  <c r="T339" i="14"/>
  <c r="T340" i="14"/>
  <c r="T341" i="14"/>
  <c r="T342" i="14"/>
  <c r="T343" i="14"/>
  <c r="T344" i="14"/>
  <c r="T345" i="14"/>
  <c r="T346" i="14"/>
  <c r="T347" i="14"/>
  <c r="T348" i="14"/>
  <c r="T8" i="14"/>
  <c r="T16" i="14"/>
  <c r="T19" i="14"/>
  <c r="T22" i="14"/>
  <c r="T24" i="14"/>
  <c r="T26" i="14"/>
  <c r="T30" i="14"/>
  <c r="T32" i="14"/>
  <c r="T35" i="14"/>
  <c r="T38" i="14"/>
  <c r="T40" i="14"/>
  <c r="T43" i="14"/>
  <c r="T46" i="14"/>
  <c r="T48" i="14"/>
  <c r="T51" i="14"/>
  <c r="T56" i="14"/>
  <c r="T59" i="14"/>
  <c r="T62" i="14"/>
  <c r="T64" i="14"/>
  <c r="T67" i="14"/>
  <c r="T70" i="14"/>
  <c r="T72" i="14"/>
  <c r="T74" i="14"/>
  <c r="T78" i="14"/>
  <c r="T80" i="14"/>
  <c r="T83" i="14"/>
  <c r="T85" i="14"/>
  <c r="T88" i="14"/>
  <c r="T90" i="14"/>
  <c r="T92" i="14"/>
  <c r="T93" i="14"/>
  <c r="T95" i="14"/>
  <c r="T98" i="14"/>
  <c r="T101" i="14"/>
  <c r="T104" i="14"/>
  <c r="T106" i="14"/>
  <c r="T108" i="14"/>
  <c r="T112" i="14"/>
  <c r="T115" i="14"/>
  <c r="T117" i="14"/>
  <c r="T120" i="14"/>
  <c r="T122" i="14"/>
  <c r="T124" i="14"/>
  <c r="T128" i="14"/>
  <c r="T131" i="14"/>
  <c r="T134" i="14"/>
  <c r="T137" i="14"/>
  <c r="T139" i="14"/>
  <c r="T141" i="14"/>
  <c r="T144" i="14"/>
  <c r="T148" i="14"/>
  <c r="T151" i="14"/>
  <c r="T154" i="14"/>
  <c r="T157" i="14"/>
  <c r="T159" i="14"/>
  <c r="T162" i="14"/>
  <c r="T165" i="14"/>
  <c r="T168" i="14"/>
  <c r="T171" i="14"/>
  <c r="T174" i="14"/>
  <c r="T177" i="14"/>
  <c r="T180" i="14"/>
  <c r="T182" i="14"/>
  <c r="T185" i="14"/>
  <c r="T188" i="14"/>
  <c r="T191" i="14"/>
  <c r="T194" i="14"/>
  <c r="T197" i="14"/>
  <c r="T199" i="14"/>
  <c r="T202" i="14"/>
  <c r="T205" i="14"/>
  <c r="T208" i="14"/>
  <c r="T209" i="14"/>
  <c r="T212" i="14"/>
  <c r="T215" i="14"/>
  <c r="T217" i="14"/>
  <c r="T222" i="14"/>
  <c r="T224" i="14"/>
  <c r="T226" i="14"/>
  <c r="T229" i="14"/>
  <c r="T232" i="14"/>
  <c r="T235" i="14"/>
  <c r="T237" i="14"/>
  <c r="T240" i="14"/>
  <c r="T244" i="14"/>
  <c r="T247" i="14"/>
  <c r="T254" i="14"/>
  <c r="T257" i="14"/>
  <c r="T260" i="14"/>
  <c r="T262" i="14"/>
  <c r="T265" i="14"/>
  <c r="T267" i="14"/>
  <c r="T349" i="14"/>
  <c r="T351" i="14"/>
  <c r="T353" i="14"/>
  <c r="T355" i="14"/>
  <c r="T358" i="14"/>
  <c r="T361" i="14"/>
  <c r="T363" i="14"/>
  <c r="T366" i="14"/>
  <c r="T369" i="14"/>
  <c r="T372" i="14"/>
  <c r="T374" i="14"/>
  <c r="T377" i="14"/>
  <c r="T380" i="14"/>
  <c r="T383" i="14"/>
  <c r="T386" i="14"/>
  <c r="T388" i="14"/>
  <c r="T391" i="14"/>
  <c r="T394" i="14"/>
  <c r="T10" i="14"/>
  <c r="T14" i="14"/>
  <c r="T18" i="14"/>
  <c r="T20" i="14"/>
  <c r="T23" i="14"/>
  <c r="T27" i="14"/>
  <c r="T29" i="14"/>
  <c r="T33" i="14"/>
  <c r="T36" i="14"/>
  <c r="T39" i="14"/>
  <c r="T41" i="14"/>
  <c r="T44" i="14"/>
  <c r="T47" i="14"/>
  <c r="T50" i="14"/>
  <c r="T53" i="14"/>
  <c r="T54" i="14"/>
  <c r="T57" i="14"/>
  <c r="T60" i="14"/>
  <c r="T63" i="14"/>
  <c r="T66" i="14"/>
  <c r="T69" i="14"/>
  <c r="T73" i="14"/>
  <c r="T76" i="14"/>
  <c r="T77" i="14"/>
  <c r="T81" i="14"/>
  <c r="T84" i="14"/>
  <c r="T87" i="14"/>
  <c r="T97" i="14"/>
  <c r="T100" i="14"/>
  <c r="T103" i="14"/>
  <c r="T105" i="14"/>
  <c r="T109" i="14"/>
  <c r="T111" i="14"/>
  <c r="T113" i="14"/>
  <c r="T116" i="14"/>
  <c r="T119" i="14"/>
  <c r="T123" i="14"/>
  <c r="T126" i="14"/>
  <c r="T127" i="14"/>
  <c r="T130" i="14"/>
  <c r="T133" i="14"/>
  <c r="T135" i="14"/>
  <c r="T138" i="14"/>
  <c r="T142" i="14"/>
  <c r="T145" i="14"/>
  <c r="T147" i="14"/>
  <c r="T149" i="14"/>
  <c r="T152" i="14"/>
  <c r="T155" i="14"/>
  <c r="T158" i="14"/>
  <c r="T161" i="14"/>
  <c r="T163" i="14"/>
  <c r="T166" i="14"/>
  <c r="T169" i="14"/>
  <c r="T172" i="14"/>
  <c r="T175" i="14"/>
  <c r="T178" i="14"/>
  <c r="T181" i="14"/>
  <c r="T184" i="14"/>
  <c r="T186" i="14"/>
  <c r="T189" i="14"/>
  <c r="T192" i="14"/>
  <c r="T195" i="14"/>
  <c r="T198" i="14"/>
  <c r="T201" i="14"/>
  <c r="T204" i="14"/>
  <c r="T207" i="14"/>
  <c r="T210" i="14"/>
  <c r="T213" i="14"/>
  <c r="T216" i="14"/>
  <c r="T219" i="14"/>
  <c r="T220" i="14"/>
  <c r="T225" i="14"/>
  <c r="T228" i="14"/>
  <c r="T230" i="14"/>
  <c r="T233" i="14"/>
  <c r="T236" i="14"/>
  <c r="T239" i="14"/>
  <c r="T241" i="14"/>
  <c r="T243" i="14"/>
  <c r="T246" i="14"/>
  <c r="T249" i="14"/>
  <c r="T251" i="14"/>
  <c r="T253" i="14"/>
  <c r="T255" i="14"/>
  <c r="T258" i="14"/>
  <c r="T263" i="14"/>
  <c r="T266" i="14"/>
  <c r="T269" i="14"/>
  <c r="T350" i="14"/>
  <c r="T352" i="14"/>
  <c r="T354" i="14"/>
  <c r="T356" i="14"/>
  <c r="T359" i="14"/>
  <c r="T362" i="14"/>
  <c r="T365" i="14"/>
  <c r="T368" i="14"/>
  <c r="T370" i="14"/>
  <c r="T373" i="14"/>
  <c r="T376" i="14"/>
  <c r="T378" i="14"/>
  <c r="T381" i="14"/>
  <c r="T384" i="14"/>
  <c r="T387" i="14"/>
  <c r="T389" i="14"/>
  <c r="T392" i="14"/>
  <c r="T395" i="14"/>
  <c r="Q430" i="14"/>
  <c r="R430" i="14" s="1"/>
  <c r="S430" i="14" s="1"/>
  <c r="E430" i="14"/>
  <c r="Q429" i="14"/>
  <c r="R429" i="14" s="1"/>
  <c r="S429" i="14" s="1"/>
  <c r="E429" i="14"/>
  <c r="Q428" i="14"/>
  <c r="R428" i="14" s="1"/>
  <c r="S428" i="14" s="1"/>
  <c r="E428" i="14"/>
  <c r="Q427" i="14"/>
  <c r="R427" i="14" s="1"/>
  <c r="S427" i="14" s="1"/>
  <c r="E427" i="14"/>
  <c r="Q426" i="14"/>
  <c r="R426" i="14" s="1"/>
  <c r="S426" i="14" s="1"/>
  <c r="E426" i="14"/>
  <c r="Q425" i="14"/>
  <c r="R425" i="14" s="1"/>
  <c r="S425" i="14" s="1"/>
  <c r="E425" i="14"/>
  <c r="E424" i="14"/>
  <c r="Q424" i="14"/>
  <c r="R424" i="14" s="1"/>
  <c r="S424" i="14" s="1"/>
  <c r="Q48" i="14"/>
  <c r="R48" i="14" s="1"/>
  <c r="S48" i="14" s="1"/>
  <c r="Q66" i="14"/>
  <c r="R66" i="14" s="1"/>
  <c r="S66" i="14" s="1"/>
  <c r="Q83" i="14"/>
  <c r="R83" i="14" s="1"/>
  <c r="S83" i="14" s="1"/>
  <c r="Q98" i="14"/>
  <c r="R98" i="14" s="1"/>
  <c r="S98" i="14" s="1"/>
  <c r="Q113" i="14"/>
  <c r="R113" i="14" s="1"/>
  <c r="S113" i="14" s="1"/>
  <c r="Q128" i="14"/>
  <c r="R128" i="14" s="1"/>
  <c r="S128" i="14" s="1"/>
  <c r="Q141" i="14"/>
  <c r="R141" i="14" s="1"/>
  <c r="S141" i="14" s="1"/>
  <c r="Q156" i="14"/>
  <c r="R156" i="14" s="1"/>
  <c r="S156" i="14" s="1"/>
  <c r="Q171" i="14"/>
  <c r="R171" i="14" s="1"/>
  <c r="S171" i="14" s="1"/>
  <c r="Q184" i="14"/>
  <c r="R184" i="14" s="1"/>
  <c r="S184" i="14" s="1"/>
  <c r="Q199" i="14"/>
  <c r="R199" i="14" s="1"/>
  <c r="S199" i="14" s="1"/>
  <c r="Q212" i="14"/>
  <c r="R212" i="14" s="1"/>
  <c r="S212" i="14" s="1"/>
  <c r="Q227" i="14"/>
  <c r="R227" i="14" s="1"/>
  <c r="S227" i="14" s="1"/>
  <c r="Q242" i="14"/>
  <c r="R242" i="14" s="1"/>
  <c r="S242" i="14" s="1"/>
  <c r="Q256" i="14"/>
  <c r="R256" i="14" s="1"/>
  <c r="S256" i="14" s="1"/>
  <c r="Q263" i="14"/>
  <c r="R263" i="14" s="1"/>
  <c r="S263" i="14" s="1"/>
  <c r="Q277" i="14"/>
  <c r="R277" i="14" s="1"/>
  <c r="S277" i="14" s="1"/>
  <c r="Q284" i="14"/>
  <c r="R284" i="14" s="1"/>
  <c r="S284" i="14" s="1"/>
  <c r="Q291" i="14"/>
  <c r="R291" i="14" s="1"/>
  <c r="S291" i="14" s="1"/>
  <c r="Q298" i="14"/>
  <c r="R298" i="14" s="1"/>
  <c r="S298" i="14" s="1"/>
  <c r="Q313" i="14"/>
  <c r="R313" i="14" s="1"/>
  <c r="S313" i="14" s="1"/>
  <c r="Q337" i="14"/>
  <c r="R337" i="14" s="1"/>
  <c r="S337" i="14" s="1"/>
  <c r="Q353" i="14"/>
  <c r="R353" i="14" s="1"/>
  <c r="S353" i="14" s="1"/>
  <c r="Q385" i="14"/>
  <c r="R385" i="14" s="1"/>
  <c r="S385" i="14" s="1"/>
  <c r="Q401" i="14"/>
  <c r="R401" i="14" s="1"/>
  <c r="S401" i="14" s="1"/>
  <c r="E401" i="14"/>
  <c r="E369" i="14"/>
  <c r="E345" i="14"/>
  <c r="E313" i="14"/>
  <c r="E284" i="14"/>
  <c r="E263" i="14"/>
  <c r="E256" i="14"/>
  <c r="E249" i="14"/>
  <c r="E242" i="14"/>
  <c r="E227" i="14"/>
  <c r="E212" i="14"/>
  <c r="E199" i="14"/>
  <c r="E184" i="14"/>
  <c r="E171" i="14"/>
  <c r="E156" i="14"/>
  <c r="E141" i="14"/>
  <c r="E128" i="14"/>
  <c r="E113" i="14"/>
  <c r="E98" i="14"/>
  <c r="E83" i="14"/>
  <c r="E66" i="14"/>
  <c r="E48" i="14"/>
  <c r="Q249" i="14"/>
  <c r="R249" i="14" s="1"/>
  <c r="S249" i="14" s="1"/>
  <c r="Q305" i="14"/>
  <c r="R305" i="14" s="1"/>
  <c r="S305" i="14" s="1"/>
  <c r="Q329" i="14"/>
  <c r="R329" i="14" s="1"/>
  <c r="S329" i="14" s="1"/>
  <c r="Q345" i="14"/>
  <c r="R345" i="14" s="1"/>
  <c r="S345" i="14" s="1"/>
  <c r="Q369" i="14"/>
  <c r="R369" i="14" s="1"/>
  <c r="S369" i="14" s="1"/>
  <c r="Q409" i="14"/>
  <c r="R409" i="14" s="1"/>
  <c r="S409" i="14" s="1"/>
  <c r="E409" i="14"/>
  <c r="E385" i="14"/>
  <c r="E361" i="14"/>
  <c r="E337" i="14"/>
  <c r="E321" i="14"/>
  <c r="E298" i="14"/>
  <c r="E270" i="14"/>
  <c r="Q270" i="14"/>
  <c r="R270" i="14" s="1"/>
  <c r="S270" i="14" s="1"/>
  <c r="Q321" i="14"/>
  <c r="R321" i="14" s="1"/>
  <c r="S321" i="14" s="1"/>
  <c r="Q361" i="14"/>
  <c r="R361" i="14" s="1"/>
  <c r="S361" i="14" s="1"/>
  <c r="Q377" i="14"/>
  <c r="R377" i="14" s="1"/>
  <c r="S377" i="14" s="1"/>
  <c r="Q393" i="14"/>
  <c r="R393" i="14" s="1"/>
  <c r="S393" i="14" s="1"/>
  <c r="Q417" i="14"/>
  <c r="R417" i="14" s="1"/>
  <c r="S417" i="14" s="1"/>
  <c r="E417" i="14"/>
  <c r="E393" i="14"/>
  <c r="E377" i="14"/>
  <c r="E353" i="14"/>
  <c r="E329" i="14"/>
  <c r="E305" i="14"/>
  <c r="E291" i="14"/>
  <c r="E277" i="14"/>
  <c r="Q27" i="14"/>
  <c r="R27" i="14" s="1"/>
  <c r="S27" i="14" s="1"/>
  <c r="E27" i="14"/>
  <c r="Q420" i="14"/>
  <c r="R420" i="14" s="1"/>
  <c r="S420" i="14" s="1"/>
  <c r="Q421" i="14"/>
  <c r="R421" i="14" s="1"/>
  <c r="S421" i="14" s="1"/>
  <c r="Q422" i="14"/>
  <c r="R422" i="14" s="1"/>
  <c r="S422" i="14" s="1"/>
  <c r="Q423" i="14"/>
  <c r="R423" i="14" s="1"/>
  <c r="S423" i="14" s="1"/>
  <c r="Q412" i="14"/>
  <c r="R412" i="14" s="1"/>
  <c r="S412" i="14" s="1"/>
  <c r="Q413" i="14"/>
  <c r="R413" i="14" s="1"/>
  <c r="S413" i="14" s="1"/>
  <c r="Q415" i="14"/>
  <c r="R415" i="14" s="1"/>
  <c r="S415" i="14" s="1"/>
  <c r="Q404" i="14"/>
  <c r="R404" i="14" s="1"/>
  <c r="S404" i="14" s="1"/>
  <c r="Q405" i="14"/>
  <c r="R405" i="14" s="1"/>
  <c r="S405" i="14" s="1"/>
  <c r="Q407" i="14"/>
  <c r="R407" i="14" s="1"/>
  <c r="S407" i="14" s="1"/>
  <c r="Q396" i="14"/>
  <c r="R396" i="14" s="1"/>
  <c r="S396" i="14" s="1"/>
  <c r="Q398" i="14"/>
  <c r="R398" i="14" s="1"/>
  <c r="S398" i="14" s="1"/>
  <c r="Q388" i="14"/>
  <c r="R388" i="14" s="1"/>
  <c r="S388" i="14" s="1"/>
  <c r="Q391" i="14"/>
  <c r="R391" i="14" s="1"/>
  <c r="S391" i="14" s="1"/>
  <c r="Q382" i="14"/>
  <c r="R382" i="14" s="1"/>
  <c r="S382" i="14" s="1"/>
  <c r="Q373" i="14"/>
  <c r="R373" i="14" s="1"/>
  <c r="S373" i="14" s="1"/>
  <c r="Q366" i="14"/>
  <c r="R366" i="14" s="1"/>
  <c r="S366" i="14" s="1"/>
  <c r="Q356" i="14"/>
  <c r="R356" i="14" s="1"/>
  <c r="S356" i="14" s="1"/>
  <c r="Q357" i="14"/>
  <c r="R357" i="14" s="1"/>
  <c r="S357" i="14" s="1"/>
  <c r="Q358" i="14"/>
  <c r="R358" i="14" s="1"/>
  <c r="S358" i="14" s="1"/>
  <c r="Q359" i="14"/>
  <c r="R359" i="14" s="1"/>
  <c r="S359" i="14" s="1"/>
  <c r="Q414" i="14"/>
  <c r="R414" i="14" s="1"/>
  <c r="S414" i="14" s="1"/>
  <c r="Q399" i="14"/>
  <c r="R399" i="14" s="1"/>
  <c r="S399" i="14" s="1"/>
  <c r="Q389" i="14"/>
  <c r="R389" i="14" s="1"/>
  <c r="S389" i="14" s="1"/>
  <c r="Q380" i="14"/>
  <c r="R380" i="14" s="1"/>
  <c r="S380" i="14" s="1"/>
  <c r="Q372" i="14"/>
  <c r="R372" i="14" s="1"/>
  <c r="S372" i="14" s="1"/>
  <c r="Q375" i="14"/>
  <c r="R375" i="14" s="1"/>
  <c r="S375" i="14" s="1"/>
  <c r="Q364" i="14"/>
  <c r="R364" i="14" s="1"/>
  <c r="S364" i="14" s="1"/>
  <c r="Q367" i="14"/>
  <c r="R367" i="14" s="1"/>
  <c r="S367" i="14" s="1"/>
  <c r="Q406" i="14"/>
  <c r="R406" i="14" s="1"/>
  <c r="S406" i="14" s="1"/>
  <c r="Q397" i="14"/>
  <c r="R397" i="14" s="1"/>
  <c r="S397" i="14" s="1"/>
  <c r="Q390" i="14"/>
  <c r="R390" i="14" s="1"/>
  <c r="S390" i="14" s="1"/>
  <c r="Q381" i="14"/>
  <c r="R381" i="14" s="1"/>
  <c r="S381" i="14" s="1"/>
  <c r="Q383" i="14"/>
  <c r="R383" i="14" s="1"/>
  <c r="S383" i="14" s="1"/>
  <c r="Q374" i="14"/>
  <c r="R374" i="14" s="1"/>
  <c r="S374" i="14" s="1"/>
  <c r="Q365" i="14"/>
  <c r="R365" i="14" s="1"/>
  <c r="S365" i="14" s="1"/>
  <c r="Q348" i="14"/>
  <c r="R348" i="14" s="1"/>
  <c r="S348" i="14" s="1"/>
  <c r="Q349" i="14"/>
  <c r="R349" i="14" s="1"/>
  <c r="S349" i="14" s="1"/>
  <c r="Q350" i="14"/>
  <c r="R350" i="14" s="1"/>
  <c r="S350" i="14" s="1"/>
  <c r="Q351" i="14"/>
  <c r="R351" i="14" s="1"/>
  <c r="S351" i="14" s="1"/>
  <c r="Q340" i="14"/>
  <c r="R340" i="14" s="1"/>
  <c r="S340" i="14" s="1"/>
  <c r="Q341" i="14"/>
  <c r="R341" i="14" s="1"/>
  <c r="S341" i="14" s="1"/>
  <c r="Q342" i="14"/>
  <c r="R342" i="14" s="1"/>
  <c r="S342" i="14" s="1"/>
  <c r="Q334" i="14"/>
  <c r="R334" i="14" s="1"/>
  <c r="S334" i="14" s="1"/>
  <c r="Q335" i="14"/>
  <c r="R335" i="14" s="1"/>
  <c r="S335" i="14" s="1"/>
  <c r="Q325" i="14"/>
  <c r="R325" i="14" s="1"/>
  <c r="S325" i="14" s="1"/>
  <c r="Q317" i="14"/>
  <c r="R317" i="14" s="1"/>
  <c r="S317" i="14" s="1"/>
  <c r="Q308" i="14"/>
  <c r="R308" i="14" s="1"/>
  <c r="S308" i="14" s="1"/>
  <c r="Q300" i="14"/>
  <c r="R300" i="14" s="1"/>
  <c r="S300" i="14" s="1"/>
  <c r="Q293" i="14"/>
  <c r="R293" i="14" s="1"/>
  <c r="S293" i="14" s="1"/>
  <c r="Q253" i="14"/>
  <c r="R253" i="14" s="1"/>
  <c r="S253" i="14" s="1"/>
  <c r="Q286" i="14"/>
  <c r="R286" i="14" s="1"/>
  <c r="S286" i="14" s="1"/>
  <c r="Q287" i="14"/>
  <c r="R287" i="14" s="1"/>
  <c r="S287" i="14" s="1"/>
  <c r="Q288" i="14"/>
  <c r="R288" i="14" s="1"/>
  <c r="S288" i="14" s="1"/>
  <c r="Q289" i="14"/>
  <c r="R289" i="14" s="1"/>
  <c r="S289" i="14" s="1"/>
  <c r="Q279" i="14"/>
  <c r="R279" i="14" s="1"/>
  <c r="S279" i="14" s="1"/>
  <c r="Q280" i="14"/>
  <c r="R280" i="14" s="1"/>
  <c r="S280" i="14" s="1"/>
  <c r="Q281" i="14"/>
  <c r="R281" i="14" s="1"/>
  <c r="S281" i="14" s="1"/>
  <c r="Q282" i="14"/>
  <c r="R282" i="14" s="1"/>
  <c r="S282" i="14" s="1"/>
  <c r="Q272" i="14"/>
  <c r="R272" i="14" s="1"/>
  <c r="S272" i="14" s="1"/>
  <c r="Q273" i="14"/>
  <c r="R273" i="14" s="1"/>
  <c r="S273" i="14" s="1"/>
  <c r="Q274" i="14"/>
  <c r="R274" i="14" s="1"/>
  <c r="S274" i="14" s="1"/>
  <c r="Q275" i="14"/>
  <c r="R275" i="14" s="1"/>
  <c r="S275" i="14" s="1"/>
  <c r="Q265" i="14"/>
  <c r="R265" i="14" s="1"/>
  <c r="S265" i="14" s="1"/>
  <c r="Q266" i="14"/>
  <c r="R266" i="14" s="1"/>
  <c r="S266" i="14" s="1"/>
  <c r="Q267" i="14"/>
  <c r="R267" i="14" s="1"/>
  <c r="S267" i="14" s="1"/>
  <c r="Q268" i="14"/>
  <c r="R268" i="14" s="1"/>
  <c r="S268" i="14" s="1"/>
  <c r="Q258" i="14"/>
  <c r="R258" i="14" s="1"/>
  <c r="S258" i="14" s="1"/>
  <c r="Q259" i="14"/>
  <c r="R259" i="14" s="1"/>
  <c r="S259" i="14" s="1"/>
  <c r="Q261" i="14"/>
  <c r="R261" i="14" s="1"/>
  <c r="S261" i="14" s="1"/>
  <c r="Q254" i="14"/>
  <c r="R254" i="14" s="1"/>
  <c r="S254" i="14" s="1"/>
  <c r="Q244" i="14"/>
  <c r="R244" i="14" s="1"/>
  <c r="S244" i="14" s="1"/>
  <c r="Q315" i="14"/>
  <c r="R315" i="14" s="1"/>
  <c r="S315" i="14" s="1"/>
  <c r="Q323" i="14"/>
  <c r="R323" i="14" s="1"/>
  <c r="S323" i="14" s="1"/>
  <c r="Q331" i="14"/>
  <c r="R331" i="14" s="1"/>
  <c r="S331" i="14" s="1"/>
  <c r="Q339" i="14"/>
  <c r="R339" i="14" s="1"/>
  <c r="S339" i="14" s="1"/>
  <c r="Q347" i="14"/>
  <c r="R347" i="14" s="1"/>
  <c r="S347" i="14" s="1"/>
  <c r="Q355" i="14"/>
  <c r="R355" i="14" s="1"/>
  <c r="S355" i="14" s="1"/>
  <c r="Q363" i="14"/>
  <c r="R363" i="14" s="1"/>
  <c r="S363" i="14" s="1"/>
  <c r="Q371" i="14"/>
  <c r="R371" i="14" s="1"/>
  <c r="S371" i="14" s="1"/>
  <c r="Q379" i="14"/>
  <c r="R379" i="14" s="1"/>
  <c r="S379" i="14" s="1"/>
  <c r="Q387" i="14"/>
  <c r="R387" i="14" s="1"/>
  <c r="S387" i="14" s="1"/>
  <c r="Q395" i="14"/>
  <c r="R395" i="14" s="1"/>
  <c r="S395" i="14" s="1"/>
  <c r="Q403" i="14"/>
  <c r="R403" i="14" s="1"/>
  <c r="S403" i="14" s="1"/>
  <c r="Q411" i="14"/>
  <c r="R411" i="14" s="1"/>
  <c r="S411" i="14" s="1"/>
  <c r="Q419" i="14"/>
  <c r="R419" i="14" s="1"/>
  <c r="S419" i="14" s="1"/>
  <c r="Q332" i="14"/>
  <c r="R332" i="14" s="1"/>
  <c r="S332" i="14" s="1"/>
  <c r="Q327" i="14"/>
  <c r="R327" i="14" s="1"/>
  <c r="S327" i="14" s="1"/>
  <c r="Q318" i="14"/>
  <c r="R318" i="14" s="1"/>
  <c r="S318" i="14" s="1"/>
  <c r="Q310" i="14"/>
  <c r="R310" i="14" s="1"/>
  <c r="S310" i="14" s="1"/>
  <c r="Q302" i="14"/>
  <c r="R302" i="14" s="1"/>
  <c r="S302" i="14" s="1"/>
  <c r="Q294" i="14"/>
  <c r="R294" i="14" s="1"/>
  <c r="S294" i="14" s="1"/>
  <c r="Q252" i="14"/>
  <c r="R252" i="14" s="1"/>
  <c r="S252" i="14" s="1"/>
  <c r="Q247" i="14"/>
  <c r="R247" i="14" s="1"/>
  <c r="S247" i="14" s="1"/>
  <c r="Q333" i="14"/>
  <c r="R333" i="14" s="1"/>
  <c r="S333" i="14" s="1"/>
  <c r="Q326" i="14"/>
  <c r="R326" i="14" s="1"/>
  <c r="S326" i="14" s="1"/>
  <c r="Q319" i="14"/>
  <c r="R319" i="14" s="1"/>
  <c r="S319" i="14" s="1"/>
  <c r="Q309" i="14"/>
  <c r="R309" i="14" s="1"/>
  <c r="S309" i="14" s="1"/>
  <c r="Q301" i="14"/>
  <c r="R301" i="14" s="1"/>
  <c r="S301" i="14" s="1"/>
  <c r="Q295" i="14"/>
  <c r="R295" i="14" s="1"/>
  <c r="S295" i="14" s="1"/>
  <c r="Q251" i="14"/>
  <c r="R251" i="14" s="1"/>
  <c r="S251" i="14" s="1"/>
  <c r="Q246" i="14"/>
  <c r="R246" i="14" s="1"/>
  <c r="S246" i="14" s="1"/>
  <c r="Q343" i="14"/>
  <c r="R343" i="14" s="1"/>
  <c r="S343" i="14" s="1"/>
  <c r="Q324" i="14"/>
  <c r="R324" i="14" s="1"/>
  <c r="S324" i="14" s="1"/>
  <c r="Q316" i="14"/>
  <c r="R316" i="14" s="1"/>
  <c r="S316" i="14" s="1"/>
  <c r="Q311" i="14"/>
  <c r="R311" i="14" s="1"/>
  <c r="S311" i="14" s="1"/>
  <c r="Q303" i="14"/>
  <c r="R303" i="14" s="1"/>
  <c r="S303" i="14" s="1"/>
  <c r="Q296" i="14"/>
  <c r="R296" i="14" s="1"/>
  <c r="S296" i="14" s="1"/>
  <c r="Q260" i="14"/>
  <c r="R260" i="14" s="1"/>
  <c r="S260" i="14" s="1"/>
  <c r="Q245" i="14"/>
  <c r="R245" i="14" s="1"/>
  <c r="S245" i="14" s="1"/>
  <c r="Q307" i="14"/>
  <c r="R307" i="14" s="1"/>
  <c r="S307" i="14" s="1"/>
  <c r="Q292" i="14"/>
  <c r="R292" i="14" s="1"/>
  <c r="S292" i="14" s="1"/>
  <c r="Q262" i="14"/>
  <c r="R262" i="14" s="1"/>
  <c r="S262" i="14" s="1"/>
  <c r="Q269" i="14"/>
  <c r="R269" i="14" s="1"/>
  <c r="Q283" i="14"/>
  <c r="R283" i="14" s="1"/>
  <c r="S283" i="14" s="1"/>
  <c r="Q290" i="14"/>
  <c r="R290" i="14" s="1"/>
  <c r="S290" i="14" s="1"/>
  <c r="Q304" i="14"/>
  <c r="R304" i="14" s="1"/>
  <c r="S304" i="14" s="1"/>
  <c r="Q312" i="14"/>
  <c r="R312" i="14" s="1"/>
  <c r="S312" i="14" s="1"/>
  <c r="Q320" i="14"/>
  <c r="R320" i="14" s="1"/>
  <c r="S320" i="14" s="1"/>
  <c r="Q344" i="14"/>
  <c r="R344" i="14" s="1"/>
  <c r="Q360" i="14"/>
  <c r="R360" i="14" s="1"/>
  <c r="S360" i="14" s="1"/>
  <c r="Q392" i="14"/>
  <c r="R392" i="14" s="1"/>
  <c r="S392" i="14" s="1"/>
  <c r="Q248" i="14"/>
  <c r="R248" i="14" s="1"/>
  <c r="S248" i="14" s="1"/>
  <c r="Q241" i="14"/>
  <c r="R241" i="14" s="1"/>
  <c r="S241" i="14" s="1"/>
  <c r="Q276" i="14"/>
  <c r="R276" i="14" s="1"/>
  <c r="S276" i="14" s="1"/>
  <c r="Q336" i="14"/>
  <c r="R336" i="14" s="1"/>
  <c r="S336" i="14" s="1"/>
  <c r="Q368" i="14"/>
  <c r="R368" i="14" s="1"/>
  <c r="S368" i="14" s="1"/>
  <c r="Q384" i="14"/>
  <c r="R384" i="14" s="1"/>
  <c r="S384" i="14" s="1"/>
  <c r="Q408" i="14"/>
  <c r="R408" i="14" s="1"/>
  <c r="S408" i="14" s="1"/>
  <c r="Q255" i="14"/>
  <c r="R255" i="14" s="1"/>
  <c r="S255" i="14" s="1"/>
  <c r="Q297" i="14"/>
  <c r="R297" i="14" s="1"/>
  <c r="S297" i="14" s="1"/>
  <c r="Q328" i="14"/>
  <c r="R328" i="14" s="1"/>
  <c r="S328" i="14" s="1"/>
  <c r="Q352" i="14"/>
  <c r="R352" i="14" s="1"/>
  <c r="Q376" i="14"/>
  <c r="R376" i="14" s="1"/>
  <c r="S376" i="14" s="1"/>
  <c r="Q400" i="14"/>
  <c r="R400" i="14" s="1"/>
  <c r="S400" i="14" s="1"/>
  <c r="Q416" i="14"/>
  <c r="R416" i="14" s="1"/>
  <c r="S416" i="14" s="1"/>
  <c r="Q354" i="14"/>
  <c r="R354" i="14" s="1"/>
  <c r="S354" i="14" s="1"/>
  <c r="Q362" i="14"/>
  <c r="R362" i="14" s="1"/>
  <c r="S362" i="14" s="1"/>
  <c r="Q370" i="14"/>
  <c r="R370" i="14" s="1"/>
  <c r="S370" i="14" s="1"/>
  <c r="Q378" i="14"/>
  <c r="R378" i="14" s="1"/>
  <c r="S378" i="14" s="1"/>
  <c r="Q386" i="14"/>
  <c r="R386" i="14" s="1"/>
  <c r="S386" i="14" s="1"/>
  <c r="Q394" i="14"/>
  <c r="R394" i="14" s="1"/>
  <c r="S394" i="14" s="1"/>
  <c r="Q402" i="14"/>
  <c r="R402" i="14" s="1"/>
  <c r="S402" i="14" s="1"/>
  <c r="Q410" i="14"/>
  <c r="R410" i="14" s="1"/>
  <c r="S410" i="14" s="1"/>
  <c r="Q418" i="14"/>
  <c r="R418" i="14" s="1"/>
  <c r="S418" i="14" s="1"/>
  <c r="Q306" i="14"/>
  <c r="R306" i="14" s="1"/>
  <c r="S306" i="14" s="1"/>
  <c r="Q314" i="14"/>
  <c r="R314" i="14" s="1"/>
  <c r="S314" i="14" s="1"/>
  <c r="Q322" i="14"/>
  <c r="R322" i="14" s="1"/>
  <c r="S322" i="14" s="1"/>
  <c r="Q330" i="14"/>
  <c r="R330" i="14" s="1"/>
  <c r="S330" i="14" s="1"/>
  <c r="Q346" i="14"/>
  <c r="R346" i="14" s="1"/>
  <c r="S346" i="14" s="1"/>
  <c r="Q257" i="14"/>
  <c r="R257" i="14" s="1"/>
  <c r="S257" i="14" s="1"/>
  <c r="Q271" i="14"/>
  <c r="R271" i="14" s="1"/>
  <c r="S271" i="14" s="1"/>
  <c r="Q285" i="14"/>
  <c r="R285" i="14" s="1"/>
  <c r="S285" i="14" s="1"/>
  <c r="Q250" i="14"/>
  <c r="R250" i="14" s="1"/>
  <c r="S250" i="14" s="1"/>
  <c r="Q243" i="14"/>
  <c r="R243" i="14" s="1"/>
  <c r="S243" i="14" s="1"/>
  <c r="Q299" i="14"/>
  <c r="R299" i="14" s="1"/>
  <c r="S299" i="14" s="1"/>
  <c r="Q338" i="14"/>
  <c r="R338" i="14" s="1"/>
  <c r="S338" i="14" s="1"/>
  <c r="Q264" i="14"/>
  <c r="R264" i="14" s="1"/>
  <c r="S264" i="14" s="1"/>
  <c r="Q278" i="14"/>
  <c r="R278" i="14" s="1"/>
  <c r="S278" i="14" s="1"/>
  <c r="Q229" i="14"/>
  <c r="R229" i="14" s="1"/>
  <c r="S229" i="14" s="1"/>
  <c r="Q234" i="14"/>
  <c r="R234" i="14" s="1"/>
  <c r="S234" i="14" s="1"/>
  <c r="Q235" i="14"/>
  <c r="R235" i="14" s="1"/>
  <c r="S235" i="14" s="1"/>
  <c r="Q236" i="14"/>
  <c r="R236" i="14" s="1"/>
  <c r="S236" i="14" s="1"/>
  <c r="Q230" i="14"/>
  <c r="R230" i="14" s="1"/>
  <c r="S230" i="14" s="1"/>
  <c r="Q240" i="14"/>
  <c r="R240" i="14" s="1"/>
  <c r="S240" i="14" s="1"/>
  <c r="Q239" i="14"/>
  <c r="R239" i="14" s="1"/>
  <c r="S239" i="14" s="1"/>
  <c r="Q228" i="14"/>
  <c r="R228" i="14" s="1"/>
  <c r="S228" i="14" s="1"/>
  <c r="Q237" i="14"/>
  <c r="R237" i="14" s="1"/>
  <c r="S237" i="14" s="1"/>
  <c r="Q231" i="14"/>
  <c r="R231" i="14" s="1"/>
  <c r="S231" i="14" s="1"/>
  <c r="Q232" i="14"/>
  <c r="R232" i="14" s="1"/>
  <c r="S232" i="14" s="1"/>
  <c r="Q238" i="14"/>
  <c r="R238" i="14" s="1"/>
  <c r="S238" i="14" s="1"/>
  <c r="Q233" i="14"/>
  <c r="R233" i="14" s="1"/>
  <c r="S233" i="14" s="1"/>
  <c r="Q214" i="14"/>
  <c r="R214" i="14" s="1"/>
  <c r="S214" i="14" s="1"/>
  <c r="Q220" i="14"/>
  <c r="R220" i="14" s="1"/>
  <c r="S220" i="14" s="1"/>
  <c r="Q225" i="14"/>
  <c r="R225" i="14" s="1"/>
  <c r="S225" i="14" s="1"/>
  <c r="Q224" i="14"/>
  <c r="R224" i="14" s="1"/>
  <c r="S224" i="14" s="1"/>
  <c r="Q222" i="14"/>
  <c r="R222" i="14" s="1"/>
  <c r="S222" i="14" s="1"/>
  <c r="Q218" i="14"/>
  <c r="R218" i="14" s="1"/>
  <c r="S218" i="14" s="1"/>
  <c r="Q197" i="14"/>
  <c r="R197" i="14" s="1"/>
  <c r="Q187" i="14"/>
  <c r="R187" i="14" s="1"/>
  <c r="S187" i="14" s="1"/>
  <c r="Q204" i="14"/>
  <c r="R204" i="14" s="1"/>
  <c r="S204" i="14" s="1"/>
  <c r="Q205" i="14"/>
  <c r="R205" i="14" s="1"/>
  <c r="S205" i="14" s="1"/>
  <c r="Q206" i="14"/>
  <c r="R206" i="14" s="1"/>
  <c r="S206" i="14" s="1"/>
  <c r="Q200" i="14"/>
  <c r="R200" i="14" s="1"/>
  <c r="S200" i="14" s="1"/>
  <c r="Q210" i="14"/>
  <c r="R210" i="14" s="1"/>
  <c r="S210" i="14" s="1"/>
  <c r="Q209" i="14"/>
  <c r="R209" i="14" s="1"/>
  <c r="S209" i="14" s="1"/>
  <c r="Q201" i="14"/>
  <c r="R201" i="14" s="1"/>
  <c r="S201" i="14" s="1"/>
  <c r="Q207" i="14"/>
  <c r="R207" i="14" s="1"/>
  <c r="S207" i="14" s="1"/>
  <c r="Q203" i="14"/>
  <c r="R203" i="14" s="1"/>
  <c r="S203" i="14" s="1"/>
  <c r="Q202" i="14"/>
  <c r="R202" i="14" s="1"/>
  <c r="S202" i="14" s="1"/>
  <c r="Q208" i="14"/>
  <c r="R208" i="14" s="1"/>
  <c r="S208" i="14" s="1"/>
  <c r="Q186" i="14"/>
  <c r="R186" i="14" s="1"/>
  <c r="S186" i="14" s="1"/>
  <c r="Q190" i="14"/>
  <c r="R190" i="14" s="1"/>
  <c r="S190" i="14" s="1"/>
  <c r="Q176" i="14"/>
  <c r="R176" i="14" s="1"/>
  <c r="S176" i="14" s="1"/>
  <c r="Q177" i="14"/>
  <c r="R177" i="14" s="1"/>
  <c r="S177" i="14" s="1"/>
  <c r="Q178" i="14"/>
  <c r="R178" i="14" s="1"/>
  <c r="S178" i="14" s="1"/>
  <c r="Q172" i="14"/>
  <c r="R172" i="14" s="1"/>
  <c r="S172" i="14" s="1"/>
  <c r="Q182" i="14"/>
  <c r="R182" i="14" s="1"/>
  <c r="S182" i="14" s="1"/>
  <c r="Q181" i="14"/>
  <c r="R181" i="14" s="1"/>
  <c r="S181" i="14" s="1"/>
  <c r="Q174" i="14"/>
  <c r="R174" i="14" s="1"/>
  <c r="S174" i="14" s="1"/>
  <c r="Q179" i="14"/>
  <c r="R179" i="14" s="1"/>
  <c r="S179" i="14" s="1"/>
  <c r="Q175" i="14"/>
  <c r="R175" i="14" s="1"/>
  <c r="S175" i="14" s="1"/>
  <c r="Q173" i="14"/>
  <c r="R173" i="14" s="1"/>
  <c r="S173" i="14" s="1"/>
  <c r="Q180" i="14"/>
  <c r="R180" i="14" s="1"/>
  <c r="S180" i="14" s="1"/>
  <c r="Q185" i="14"/>
  <c r="R185" i="14" s="1"/>
  <c r="S185" i="14" s="1"/>
  <c r="Q219" i="14"/>
  <c r="R219" i="14" s="1"/>
  <c r="S219" i="14" s="1"/>
  <c r="Q213" i="14"/>
  <c r="R213" i="14" s="1"/>
  <c r="S213" i="14" s="1"/>
  <c r="Q216" i="14"/>
  <c r="R216" i="14" s="1"/>
  <c r="S216" i="14" s="1"/>
  <c r="Q191" i="14"/>
  <c r="R191" i="14" s="1"/>
  <c r="S191" i="14" s="1"/>
  <c r="Q196" i="14"/>
  <c r="R196" i="14" s="1"/>
  <c r="S196" i="14" s="1"/>
  <c r="Q195" i="14"/>
  <c r="R195" i="14" s="1"/>
  <c r="S195" i="14" s="1"/>
  <c r="Q221" i="14"/>
  <c r="R221" i="14" s="1"/>
  <c r="S221" i="14" s="1"/>
  <c r="Q217" i="14"/>
  <c r="R217" i="14" s="1"/>
  <c r="S217" i="14" s="1"/>
  <c r="Q192" i="14"/>
  <c r="R192" i="14" s="1"/>
  <c r="S192" i="14" s="1"/>
  <c r="Q194" i="14"/>
  <c r="R194" i="14" s="1"/>
  <c r="S194" i="14" s="1"/>
  <c r="Q188" i="14"/>
  <c r="R188" i="14" s="1"/>
  <c r="S188" i="14" s="1"/>
  <c r="Q215" i="14"/>
  <c r="R215" i="14" s="1"/>
  <c r="S215" i="14" s="1"/>
  <c r="Q223" i="14"/>
  <c r="R223" i="14" s="1"/>
  <c r="S223" i="14" s="1"/>
  <c r="Q193" i="14"/>
  <c r="R193" i="14" s="1"/>
  <c r="S193" i="14" s="1"/>
  <c r="Q189" i="14"/>
  <c r="R189" i="14" s="1"/>
  <c r="S189" i="14" s="1"/>
  <c r="Q162" i="14"/>
  <c r="R162" i="14" s="1"/>
  <c r="S162" i="14" s="1"/>
  <c r="Q163" i="14"/>
  <c r="R163" i="14" s="1"/>
  <c r="S163" i="14" s="1"/>
  <c r="Q164" i="14"/>
  <c r="R164" i="14" s="1"/>
  <c r="S164" i="14" s="1"/>
  <c r="Q159" i="14"/>
  <c r="R159" i="14" s="1"/>
  <c r="S159" i="14" s="1"/>
  <c r="Q168" i="14"/>
  <c r="R168" i="14" s="1"/>
  <c r="S168" i="14" s="1"/>
  <c r="Q167" i="14"/>
  <c r="R167" i="14" s="1"/>
  <c r="S167" i="14" s="1"/>
  <c r="Q160" i="14"/>
  <c r="R160" i="14" s="1"/>
  <c r="S160" i="14" s="1"/>
  <c r="Q165" i="14"/>
  <c r="R165" i="14" s="1"/>
  <c r="S165" i="14" s="1"/>
  <c r="Q161" i="14"/>
  <c r="R161" i="14" s="1"/>
  <c r="S161" i="14" s="1"/>
  <c r="Q157" i="14"/>
  <c r="R157" i="14" s="1"/>
  <c r="S157" i="14" s="1"/>
  <c r="Q166" i="14"/>
  <c r="R166" i="14" s="1"/>
  <c r="S166" i="14" s="1"/>
  <c r="Q158" i="14"/>
  <c r="R158" i="14" s="1"/>
  <c r="S158" i="14" s="1"/>
  <c r="Q147" i="14"/>
  <c r="R147" i="14" s="1"/>
  <c r="S147" i="14" s="1"/>
  <c r="Q149" i="14"/>
  <c r="R149" i="14" s="1"/>
  <c r="S149" i="14" s="1"/>
  <c r="Q152" i="14"/>
  <c r="R152" i="14" s="1"/>
  <c r="S152" i="14" s="1"/>
  <c r="Q150" i="14"/>
  <c r="R150" i="14" s="1"/>
  <c r="S150" i="14" s="1"/>
  <c r="Q142" i="14"/>
  <c r="R142" i="14" s="1"/>
  <c r="S142" i="14" s="1"/>
  <c r="Q151" i="14"/>
  <c r="R151" i="14" s="1"/>
  <c r="S151" i="14" s="1"/>
  <c r="Q120" i="14"/>
  <c r="R120" i="14" s="1"/>
  <c r="S120" i="14" s="1"/>
  <c r="Q132" i="14"/>
  <c r="R132" i="14" s="1"/>
  <c r="S132" i="14" s="1"/>
  <c r="Q133" i="14"/>
  <c r="R133" i="14" s="1"/>
  <c r="S133" i="14" s="1"/>
  <c r="Q134" i="14"/>
  <c r="R134" i="14" s="1"/>
  <c r="S134" i="14" s="1"/>
  <c r="Q129" i="14"/>
  <c r="R129" i="14" s="1"/>
  <c r="S129" i="14" s="1"/>
  <c r="Q138" i="14"/>
  <c r="R138" i="14" s="1"/>
  <c r="S138" i="14" s="1"/>
  <c r="Q137" i="14"/>
  <c r="R137" i="14" s="1"/>
  <c r="S137" i="14" s="1"/>
  <c r="Q130" i="14"/>
  <c r="R130" i="14" s="1"/>
  <c r="S130" i="14" s="1"/>
  <c r="Q135" i="14"/>
  <c r="R135" i="14" s="1"/>
  <c r="S135" i="14" s="1"/>
  <c r="Q131" i="14"/>
  <c r="R131" i="14" s="1"/>
  <c r="S131" i="14" s="1"/>
  <c r="Q126" i="14"/>
  <c r="R126" i="14" s="1"/>
  <c r="S126" i="14" s="1"/>
  <c r="Q136" i="14"/>
  <c r="R136" i="14" s="1"/>
  <c r="S136" i="14" s="1"/>
  <c r="Q127" i="14"/>
  <c r="R127" i="14" s="1"/>
  <c r="S127" i="14" s="1"/>
  <c r="Q117" i="14"/>
  <c r="R117" i="14" s="1"/>
  <c r="S117" i="14" s="1"/>
  <c r="Q118" i="14"/>
  <c r="R118" i="14" s="1"/>
  <c r="S118" i="14" s="1"/>
  <c r="Q119" i="14"/>
  <c r="R119" i="14" s="1"/>
  <c r="S119" i="14" s="1"/>
  <c r="Q114" i="14"/>
  <c r="R114" i="14" s="1"/>
  <c r="S114" i="14" s="1"/>
  <c r="Q123" i="14"/>
  <c r="R123" i="14" s="1"/>
  <c r="S123" i="14" s="1"/>
  <c r="Q122" i="14"/>
  <c r="R122" i="14" s="1"/>
  <c r="S122" i="14" s="1"/>
  <c r="Q115" i="14"/>
  <c r="R115" i="14" s="1"/>
  <c r="S115" i="14" s="1"/>
  <c r="Q121" i="14"/>
  <c r="R121" i="14" s="1"/>
  <c r="S121" i="14" s="1"/>
  <c r="Q102" i="14"/>
  <c r="R102" i="14" s="1"/>
  <c r="S102" i="14" s="1"/>
  <c r="Q103" i="14"/>
  <c r="R103" i="14" s="1"/>
  <c r="S103" i="14" s="1"/>
  <c r="Q104" i="14"/>
  <c r="R104" i="14" s="1"/>
  <c r="S104" i="14" s="1"/>
  <c r="Q99" i="14"/>
  <c r="R99" i="14" s="1"/>
  <c r="S99" i="14" s="1"/>
  <c r="Q108" i="14"/>
  <c r="R108" i="14" s="1"/>
  <c r="S108" i="14" s="1"/>
  <c r="Q107" i="14"/>
  <c r="R107" i="14" s="1"/>
  <c r="S107" i="14" s="1"/>
  <c r="Q100" i="14"/>
  <c r="R100" i="14" s="1"/>
  <c r="S100" i="14" s="1"/>
  <c r="Q105" i="14"/>
  <c r="R105" i="14" s="1"/>
  <c r="S105" i="14" s="1"/>
  <c r="Q101" i="14"/>
  <c r="R101" i="14" s="1"/>
  <c r="S101" i="14" s="1"/>
  <c r="Q96" i="14"/>
  <c r="R96" i="14" s="1"/>
  <c r="S96" i="14" s="1"/>
  <c r="Q106" i="14"/>
  <c r="R106" i="14" s="1"/>
  <c r="S106" i="14" s="1"/>
  <c r="Q97" i="14"/>
  <c r="R97" i="14" s="1"/>
  <c r="S97" i="14" s="1"/>
  <c r="Q153" i="14"/>
  <c r="R153" i="14" s="1"/>
  <c r="S153" i="14" s="1"/>
  <c r="Q144" i="14"/>
  <c r="R144" i="14" s="1"/>
  <c r="S144" i="14" s="1"/>
  <c r="Q112" i="14"/>
  <c r="R112" i="14" s="1"/>
  <c r="S112" i="14" s="1"/>
  <c r="Q148" i="14"/>
  <c r="R148" i="14" s="1"/>
  <c r="S148" i="14" s="1"/>
  <c r="Q146" i="14"/>
  <c r="R146" i="14" s="1"/>
  <c r="S146" i="14" s="1"/>
  <c r="Q143" i="14"/>
  <c r="R143" i="14" s="1"/>
  <c r="S143" i="14" s="1"/>
  <c r="Q116" i="14"/>
  <c r="R116" i="14" s="1"/>
  <c r="S116" i="14" s="1"/>
  <c r="Q145" i="14"/>
  <c r="R145" i="14" s="1"/>
  <c r="S145" i="14" s="1"/>
  <c r="Q111" i="14"/>
  <c r="R111" i="14" s="1"/>
  <c r="S111" i="14" s="1"/>
  <c r="Q87" i="14"/>
  <c r="R87" i="14" s="1"/>
  <c r="Q88" i="14"/>
  <c r="R88" i="14" s="1"/>
  <c r="Q84" i="14"/>
  <c r="R84" i="14" s="1"/>
  <c r="Q93" i="14"/>
  <c r="R93" i="14" s="1"/>
  <c r="Q85" i="14"/>
  <c r="R85" i="14" s="1"/>
  <c r="Q91" i="14"/>
  <c r="R91" i="14" s="1"/>
  <c r="Q211" i="14"/>
  <c r="R211" i="14" s="1"/>
  <c r="Q80" i="14"/>
  <c r="R80" i="14" s="1"/>
  <c r="Q198" i="14"/>
  <c r="R198" i="14" s="1"/>
  <c r="Q183" i="14"/>
  <c r="R183" i="14" s="1"/>
  <c r="S183" i="14" s="1"/>
  <c r="Q169" i="14"/>
  <c r="R169" i="14" s="1"/>
  <c r="S169" i="14" s="1"/>
  <c r="Q170" i="14"/>
  <c r="R170" i="14" s="1"/>
  <c r="S170" i="14" s="1"/>
  <c r="Q154" i="14"/>
  <c r="R154" i="14" s="1"/>
  <c r="S154" i="14" s="1"/>
  <c r="Q155" i="14"/>
  <c r="R155" i="14" s="1"/>
  <c r="S155" i="14" s="1"/>
  <c r="Q139" i="14"/>
  <c r="R139" i="14" s="1"/>
  <c r="S139" i="14" s="1"/>
  <c r="Q140" i="14"/>
  <c r="R140" i="14" s="1"/>
  <c r="S140" i="14" s="1"/>
  <c r="Q124" i="14"/>
  <c r="R124" i="14" s="1"/>
  <c r="S124" i="14" s="1"/>
  <c r="Q125" i="14"/>
  <c r="R125" i="14" s="1"/>
  <c r="S125" i="14" s="1"/>
  <c r="Q110" i="14"/>
  <c r="R110" i="14" s="1"/>
  <c r="S110" i="14" s="1"/>
  <c r="Q95" i="14"/>
  <c r="R95" i="14" s="1"/>
  <c r="S95" i="14" s="1"/>
  <c r="Q89" i="14"/>
  <c r="R89" i="14" s="1"/>
  <c r="Q90" i="14"/>
  <c r="R90" i="14" s="1"/>
  <c r="Q94" i="14"/>
  <c r="R94" i="14" s="1"/>
  <c r="Q92" i="14"/>
  <c r="R92" i="14" s="1"/>
  <c r="Q81" i="14"/>
  <c r="R81" i="14" s="1"/>
  <c r="Q109" i="14"/>
  <c r="R109" i="14" s="1"/>
  <c r="S109" i="14" s="1"/>
  <c r="Q82" i="14"/>
  <c r="R82" i="14" s="1"/>
  <c r="Q86" i="14"/>
  <c r="R86" i="14" s="1"/>
  <c r="Q226" i="14"/>
  <c r="R226" i="14" s="1"/>
  <c r="S226" i="14" s="1"/>
  <c r="Q79" i="14"/>
  <c r="R79" i="14" s="1"/>
  <c r="H9" i="12"/>
  <c r="J9" i="12" s="1"/>
  <c r="Q65" i="14"/>
  <c r="R65" i="14" s="1"/>
  <c r="Q47" i="14"/>
  <c r="R47" i="14" s="1"/>
  <c r="Q68" i="14"/>
  <c r="R68" i="14" s="1"/>
  <c r="Q30" i="14"/>
  <c r="R30" i="14" s="1"/>
  <c r="Q29" i="14"/>
  <c r="R29" i="14" s="1"/>
  <c r="Q50" i="14"/>
  <c r="R50" i="14" s="1"/>
  <c r="Q61" i="14"/>
  <c r="R61" i="14" s="1"/>
  <c r="Q62" i="14"/>
  <c r="R62" i="14" s="1"/>
  <c r="Q72" i="14"/>
  <c r="R72" i="14" s="1"/>
  <c r="Q73" i="14"/>
  <c r="R73" i="14" s="1"/>
  <c r="Q74" i="14"/>
  <c r="R74" i="14" s="1"/>
  <c r="Q69" i="14"/>
  <c r="R69" i="14" s="1"/>
  <c r="Q78" i="14"/>
  <c r="R78" i="14" s="1"/>
  <c r="Q77" i="14"/>
  <c r="R77" i="14" s="1"/>
  <c r="Q70" i="14"/>
  <c r="R70" i="14" s="1"/>
  <c r="Q67" i="14"/>
  <c r="R67" i="14" s="1"/>
  <c r="Q75" i="14"/>
  <c r="R75" i="14" s="1"/>
  <c r="Q71" i="14"/>
  <c r="R71" i="14" s="1"/>
  <c r="Q63" i="14"/>
  <c r="R63" i="14" s="1"/>
  <c r="Q76" i="14"/>
  <c r="R76" i="14" s="1"/>
  <c r="Q64" i="14"/>
  <c r="R64" i="14" s="1"/>
  <c r="Q59" i="14"/>
  <c r="R59" i="14" s="1"/>
  <c r="Q49" i="14"/>
  <c r="R49" i="14" s="1"/>
  <c r="Q53" i="14"/>
  <c r="R53" i="14" s="1"/>
  <c r="Q43" i="14"/>
  <c r="R43" i="14" s="1"/>
  <c r="Q44" i="14"/>
  <c r="R44" i="14" s="1"/>
  <c r="Q54" i="14"/>
  <c r="R54" i="14" s="1"/>
  <c r="Q55" i="14"/>
  <c r="R55" i="14" s="1"/>
  <c r="Q56" i="14"/>
  <c r="R56" i="14" s="1"/>
  <c r="Q51" i="14"/>
  <c r="R51" i="14" s="1"/>
  <c r="Q60" i="14"/>
  <c r="R60" i="14" s="1"/>
  <c r="Q57" i="14"/>
  <c r="R57" i="14" s="1"/>
  <c r="Q45" i="14"/>
  <c r="R45" i="14" s="1"/>
  <c r="S45" i="14" s="1"/>
  <c r="Q52" i="14"/>
  <c r="R52" i="14" s="1"/>
  <c r="Q46" i="14"/>
  <c r="R46" i="14" s="1"/>
  <c r="Q58" i="14"/>
  <c r="R58" i="14" s="1"/>
  <c r="E6" i="14"/>
  <c r="E10" i="14"/>
  <c r="E13" i="14"/>
  <c r="E15" i="14"/>
  <c r="E18" i="14"/>
  <c r="E7" i="14"/>
  <c r="E11" i="14"/>
  <c r="E14" i="14"/>
  <c r="E16" i="14"/>
  <c r="E19" i="14"/>
  <c r="E9" i="14"/>
  <c r="E8" i="14"/>
  <c r="E20" i="14"/>
  <c r="E5" i="14"/>
  <c r="E12" i="14"/>
  <c r="E17" i="14"/>
  <c r="Q21" i="14"/>
  <c r="R21" i="14" s="1"/>
  <c r="Q22" i="14"/>
  <c r="R22" i="14" s="1"/>
  <c r="Q36" i="14"/>
  <c r="R36" i="14" s="1"/>
  <c r="Q31" i="14"/>
  <c r="R31" i="14" s="1"/>
  <c r="Q41" i="14"/>
  <c r="R41" i="14" s="1"/>
  <c r="Q23" i="14"/>
  <c r="R23" i="14" s="1"/>
  <c r="S23" i="14" s="1"/>
  <c r="Q24" i="14"/>
  <c r="R24" i="14" s="1"/>
  <c r="S24" i="14" s="1"/>
  <c r="Q28" i="14"/>
  <c r="R28" i="14" s="1"/>
  <c r="Q33" i="14"/>
  <c r="R33" i="14" s="1"/>
  <c r="Q26" i="14"/>
  <c r="R26" i="14" s="1"/>
  <c r="Q34" i="14"/>
  <c r="R34" i="14" s="1"/>
  <c r="Q32" i="14"/>
  <c r="R32" i="14" s="1"/>
  <c r="Q38" i="14"/>
  <c r="R38" i="14" s="1"/>
  <c r="Q25" i="14"/>
  <c r="R25" i="14" s="1"/>
  <c r="Q42" i="14"/>
  <c r="R42" i="14" s="1"/>
  <c r="Q35" i="14"/>
  <c r="R35" i="14" s="1"/>
  <c r="Q37" i="14"/>
  <c r="R37" i="14" s="1"/>
  <c r="S37" i="14" s="1"/>
  <c r="Q39" i="14"/>
  <c r="R39" i="14" s="1"/>
  <c r="Q40" i="14"/>
  <c r="R40" i="14" s="1"/>
  <c r="Q17" i="14"/>
  <c r="R17" i="14" s="1"/>
  <c r="Q20" i="14"/>
  <c r="R20" i="14" s="1"/>
  <c r="Q18" i="14"/>
  <c r="R18" i="14" s="1"/>
  <c r="Q19" i="14"/>
  <c r="R19" i="14" s="1"/>
  <c r="S19" i="14" s="1"/>
  <c r="Q5" i="14"/>
  <c r="Q9" i="14"/>
  <c r="R9" i="14" s="1"/>
  <c r="Q10" i="14"/>
  <c r="R10" i="14" s="1"/>
  <c r="Q13" i="14"/>
  <c r="R13" i="14" s="1"/>
  <c r="Q16" i="14"/>
  <c r="R16" i="14" s="1"/>
  <c r="Q6" i="14"/>
  <c r="R6" i="14" s="1"/>
  <c r="Q11" i="14"/>
  <c r="R11" i="14" s="1"/>
  <c r="Q15" i="14"/>
  <c r="R15" i="14" s="1"/>
  <c r="Q7" i="14"/>
  <c r="R7" i="14" s="1"/>
  <c r="Q12" i="14"/>
  <c r="R12" i="14" s="1"/>
  <c r="Q14" i="14"/>
  <c r="R14" i="14" s="1"/>
  <c r="Q8" i="14"/>
  <c r="R8" i="14" s="1"/>
  <c r="H14" i="12"/>
  <c r="H13" i="12"/>
  <c r="H15" i="12"/>
  <c r="H16" i="12"/>
  <c r="H11" i="12"/>
  <c r="H12" i="12"/>
  <c r="J3" i="14"/>
  <c r="H10" i="12"/>
  <c r="H97" i="12"/>
  <c r="P81" i="12"/>
  <c r="H65" i="12"/>
  <c r="H49" i="12"/>
  <c r="P33" i="12"/>
  <c r="J113" i="12"/>
  <c r="B153" i="12"/>
  <c r="J153" i="12" s="1"/>
  <c r="B73" i="12"/>
  <c r="J73" i="12" s="1"/>
  <c r="J177" i="12"/>
  <c r="P161" i="12"/>
  <c r="P145" i="12"/>
  <c r="J129" i="12"/>
  <c r="L33" i="12"/>
  <c r="L49" i="12"/>
  <c r="L65" i="12"/>
  <c r="L81" i="12"/>
  <c r="L97" i="12"/>
  <c r="L113" i="12"/>
  <c r="L129" i="12"/>
  <c r="L145" i="12"/>
  <c r="L161" i="12"/>
  <c r="L177" i="12"/>
  <c r="J33" i="12"/>
  <c r="J49" i="12"/>
  <c r="J65" i="12"/>
  <c r="J81" i="12"/>
  <c r="J97" i="12"/>
  <c r="J145" i="12"/>
  <c r="J161" i="12"/>
  <c r="H177" i="12"/>
  <c r="P129" i="12"/>
  <c r="P113" i="12"/>
  <c r="H33" i="12"/>
  <c r="H81" i="12"/>
  <c r="H113" i="12"/>
  <c r="H129" i="12"/>
  <c r="H145" i="12"/>
  <c r="H161" i="12"/>
  <c r="P177" i="12"/>
  <c r="P65" i="12"/>
  <c r="P97" i="12"/>
  <c r="P49" i="12"/>
  <c r="B121" i="12"/>
  <c r="B169" i="12"/>
  <c r="B105" i="12"/>
  <c r="B174" i="12"/>
  <c r="B158" i="12"/>
  <c r="B142" i="12"/>
  <c r="B126" i="12"/>
  <c r="B110" i="12"/>
  <c r="B94" i="12"/>
  <c r="B78" i="12"/>
  <c r="B62" i="12"/>
  <c r="B46" i="12"/>
  <c r="B57" i="12"/>
  <c r="B41" i="12"/>
  <c r="B25" i="12"/>
  <c r="B123" i="12"/>
  <c r="B115" i="12"/>
  <c r="B30" i="12"/>
  <c r="B172" i="12"/>
  <c r="B156" i="12"/>
  <c r="B88" i="12"/>
  <c r="B171" i="12"/>
  <c r="B107" i="12"/>
  <c r="B75" i="12"/>
  <c r="B154" i="12"/>
  <c r="B106" i="12"/>
  <c r="B90" i="12"/>
  <c r="B185" i="12"/>
  <c r="B137" i="12"/>
  <c r="B89" i="12"/>
  <c r="B184" i="12"/>
  <c r="B168" i="12"/>
  <c r="B72" i="12"/>
  <c r="B53" i="12"/>
  <c r="B180" i="12"/>
  <c r="B116" i="12"/>
  <c r="B84" i="12"/>
  <c r="B36" i="12"/>
  <c r="B163" i="12"/>
  <c r="B99" i="12"/>
  <c r="B29" i="12"/>
  <c r="B80" i="12"/>
  <c r="B28" i="12"/>
  <c r="B183" i="12"/>
  <c r="B175" i="12"/>
  <c r="B166" i="12"/>
  <c r="B149" i="12"/>
  <c r="B140" i="12"/>
  <c r="B132" i="12"/>
  <c r="B70" i="12"/>
  <c r="B43" i="12"/>
  <c r="B35" i="12"/>
  <c r="B27" i="12"/>
  <c r="B173" i="12"/>
  <c r="B157" i="12"/>
  <c r="B141" i="12"/>
  <c r="B125" i="12"/>
  <c r="B109" i="12"/>
  <c r="B93" i="12"/>
  <c r="B77" i="12"/>
  <c r="B61" i="12"/>
  <c r="B45" i="12"/>
  <c r="B122" i="12"/>
  <c r="B114" i="12"/>
  <c r="B87" i="12"/>
  <c r="B79" i="12"/>
  <c r="B52" i="12"/>
  <c r="B124" i="12"/>
  <c r="B108" i="12"/>
  <c r="B92" i="12"/>
  <c r="B76" i="12"/>
  <c r="B60" i="12"/>
  <c r="B44" i="12"/>
  <c r="B182" i="12"/>
  <c r="B165" i="12"/>
  <c r="B148" i="12"/>
  <c r="B139" i="12"/>
  <c r="B131" i="12"/>
  <c r="B104" i="12"/>
  <c r="B96" i="12"/>
  <c r="B69" i="12"/>
  <c r="B42" i="12"/>
  <c r="B34" i="12"/>
  <c r="B26" i="12"/>
  <c r="B86" i="12"/>
  <c r="B59" i="12"/>
  <c r="B51" i="12"/>
  <c r="B181" i="12"/>
  <c r="B164" i="12"/>
  <c r="B155" i="12"/>
  <c r="B147" i="12"/>
  <c r="B138" i="12"/>
  <c r="B130" i="12"/>
  <c r="B103" i="12"/>
  <c r="B95" i="12"/>
  <c r="B68" i="12"/>
  <c r="B120" i="12"/>
  <c r="B112" i="12"/>
  <c r="B85" i="12"/>
  <c r="B58" i="12"/>
  <c r="B50" i="12"/>
  <c r="B146" i="12"/>
  <c r="B102" i="12"/>
  <c r="B67" i="12"/>
  <c r="B40" i="12"/>
  <c r="B32" i="12"/>
  <c r="B119" i="12"/>
  <c r="B111" i="12"/>
  <c r="B179" i="12"/>
  <c r="B170" i="12"/>
  <c r="B162" i="12"/>
  <c r="B136" i="12"/>
  <c r="B128" i="12"/>
  <c r="B101" i="12"/>
  <c r="B74" i="12"/>
  <c r="B66" i="12"/>
  <c r="B39" i="12"/>
  <c r="B31" i="12"/>
  <c r="B118" i="12"/>
  <c r="B91" i="12"/>
  <c r="B83" i="12"/>
  <c r="B56" i="12"/>
  <c r="B48" i="12"/>
  <c r="G12" i="12"/>
  <c r="B186" i="12"/>
  <c r="B178" i="12"/>
  <c r="B152" i="12"/>
  <c r="B144" i="12"/>
  <c r="B135" i="12"/>
  <c r="B127" i="12"/>
  <c r="B100" i="12"/>
  <c r="B38" i="12"/>
  <c r="B117" i="12"/>
  <c r="B82" i="12"/>
  <c r="B55" i="12"/>
  <c r="B47" i="12"/>
  <c r="B160" i="12"/>
  <c r="B151" i="12"/>
  <c r="B143" i="12"/>
  <c r="B134" i="12"/>
  <c r="B64" i="12"/>
  <c r="B37" i="12"/>
  <c r="B54" i="12"/>
  <c r="B176" i="12"/>
  <c r="B167" i="12"/>
  <c r="B159" i="12"/>
  <c r="B150" i="12"/>
  <c r="B133" i="12"/>
  <c r="B98" i="12"/>
  <c r="B71" i="12"/>
  <c r="B63" i="12"/>
  <c r="B14" i="12"/>
  <c r="B16" i="12"/>
  <c r="B18" i="12"/>
  <c r="B10" i="12"/>
  <c r="J10" i="12" s="1"/>
  <c r="B24" i="12"/>
  <c r="B22" i="12"/>
  <c r="B23" i="12"/>
  <c r="B15" i="12"/>
  <c r="B21" i="12"/>
  <c r="B13" i="12"/>
  <c r="B19" i="12"/>
  <c r="B11" i="12"/>
  <c r="B20" i="12"/>
  <c r="B12" i="12"/>
  <c r="B17" i="12"/>
  <c r="B9" i="12"/>
  <c r="G11" i="12"/>
  <c r="G9" i="12"/>
  <c r="G10" i="12"/>
  <c r="S441" i="14" l="1"/>
  <c r="U441" i="14"/>
  <c r="S84" i="14"/>
  <c r="S61" i="14"/>
  <c r="S38" i="14"/>
  <c r="S42" i="14"/>
  <c r="S352" i="14"/>
  <c r="S269" i="14"/>
  <c r="S344" i="14"/>
  <c r="S197" i="14"/>
  <c r="S87" i="14"/>
  <c r="S88" i="14"/>
  <c r="S13" i="14"/>
  <c r="S93" i="14"/>
  <c r="S85" i="14"/>
  <c r="S91" i="14"/>
  <c r="S211" i="14"/>
  <c r="S80" i="14"/>
  <c r="S198" i="14"/>
  <c r="S89" i="14"/>
  <c r="S90" i="14"/>
  <c r="S94" i="14"/>
  <c r="S92" i="14"/>
  <c r="S81" i="14"/>
  <c r="S82" i="14"/>
  <c r="S86" i="14"/>
  <c r="S79" i="14"/>
  <c r="S65" i="14"/>
  <c r="S47" i="14"/>
  <c r="S68" i="14"/>
  <c r="S30" i="14"/>
  <c r="S29" i="14"/>
  <c r="S50" i="14"/>
  <c r="S62" i="14"/>
  <c r="S72" i="14"/>
  <c r="S73" i="14"/>
  <c r="S74" i="14"/>
  <c r="S69" i="14"/>
  <c r="S78" i="14"/>
  <c r="S77" i="14"/>
  <c r="S70" i="14"/>
  <c r="S67" i="14"/>
  <c r="S75" i="14"/>
  <c r="S71" i="14"/>
  <c r="S63" i="14"/>
  <c r="S76" i="14"/>
  <c r="S64" i="14"/>
  <c r="S59" i="14"/>
  <c r="S49" i="14"/>
  <c r="S53" i="14"/>
  <c r="S43" i="14"/>
  <c r="S44" i="14"/>
  <c r="S54" i="14"/>
  <c r="S55" i="14"/>
  <c r="S56" i="14"/>
  <c r="S51" i="14"/>
  <c r="S60" i="14"/>
  <c r="S57" i="14"/>
  <c r="S52" i="14"/>
  <c r="S46" i="14"/>
  <c r="S58" i="14"/>
  <c r="S21" i="14"/>
  <c r="S22" i="14"/>
  <c r="S36" i="14"/>
  <c r="S31" i="14"/>
  <c r="S41" i="14"/>
  <c r="S28" i="14"/>
  <c r="S33" i="14"/>
  <c r="S26" i="14"/>
  <c r="S34" i="14"/>
  <c r="S32" i="14"/>
  <c r="S25" i="14"/>
  <c r="S35" i="14"/>
  <c r="S39" i="14"/>
  <c r="S40" i="14"/>
  <c r="S17" i="14"/>
  <c r="S20" i="14"/>
  <c r="S18" i="14"/>
  <c r="S9" i="14"/>
  <c r="S10" i="14"/>
  <c r="S16" i="14"/>
  <c r="S6" i="14"/>
  <c r="S11" i="14"/>
  <c r="S15" i="14"/>
  <c r="S7" i="14"/>
  <c r="S12" i="14"/>
  <c r="S14" i="14"/>
  <c r="S8" i="14"/>
  <c r="U62" i="14"/>
  <c r="U30" i="14"/>
  <c r="U29" i="14"/>
  <c r="U50" i="14"/>
  <c r="U49" i="14"/>
  <c r="U44" i="14"/>
  <c r="U45" i="14"/>
  <c r="U23" i="14"/>
  <c r="U24" i="14"/>
  <c r="U28" i="14"/>
  <c r="U37" i="14"/>
  <c r="U68" i="14"/>
  <c r="U67" i="14"/>
  <c r="U74" i="14"/>
  <c r="U77" i="14"/>
  <c r="U73" i="14"/>
  <c r="U70" i="14"/>
  <c r="U85" i="14"/>
  <c r="U78" i="14"/>
  <c r="U27" i="14"/>
  <c r="U384" i="14"/>
  <c r="U408" i="14"/>
  <c r="U416" i="14"/>
  <c r="U102" i="14"/>
  <c r="U103" i="14"/>
  <c r="U104" i="14"/>
  <c r="U84" i="14"/>
  <c r="U80" i="14"/>
  <c r="U81" i="14"/>
  <c r="U82" i="14"/>
  <c r="U79" i="14"/>
  <c r="U75" i="14"/>
  <c r="U76" i="14"/>
  <c r="U277" i="14"/>
  <c r="U284" i="14"/>
  <c r="U291" i="14"/>
  <c r="U298" i="14"/>
  <c r="U313" i="14"/>
  <c r="U337" i="14"/>
  <c r="U353" i="14"/>
  <c r="U385" i="14"/>
  <c r="U401" i="14"/>
  <c r="U249" i="14"/>
  <c r="U329" i="14"/>
  <c r="U409" i="14"/>
  <c r="U351" i="14"/>
  <c r="U334" i="14"/>
  <c r="U335" i="14"/>
  <c r="U325" i="14"/>
  <c r="U317" i="14"/>
  <c r="U308" i="14"/>
  <c r="U300" i="14"/>
  <c r="U293" i="14"/>
  <c r="U253" i="14"/>
  <c r="U254" i="14"/>
  <c r="U344" i="14"/>
  <c r="U360" i="14"/>
  <c r="U392" i="14"/>
  <c r="U248" i="14"/>
  <c r="U241" i="14"/>
  <c r="U276" i="14"/>
  <c r="U336" i="14"/>
  <c r="U368" i="14"/>
  <c r="U297" i="14"/>
  <c r="U328" i="14"/>
  <c r="U376" i="14"/>
  <c r="U400" i="14"/>
  <c r="U394" i="14"/>
  <c r="U402" i="14"/>
  <c r="U410" i="14"/>
  <c r="U172" i="14"/>
  <c r="U174" i="14"/>
  <c r="U179" i="14"/>
  <c r="U173" i="14"/>
  <c r="U219" i="14"/>
  <c r="U213" i="14"/>
  <c r="U216" i="14"/>
  <c r="U221" i="14"/>
  <c r="U217" i="14"/>
  <c r="U162" i="14"/>
  <c r="U163" i="14"/>
  <c r="U164" i="14"/>
  <c r="U159" i="14"/>
  <c r="U168" i="14"/>
  <c r="U167" i="14"/>
  <c r="U160" i="14"/>
  <c r="U165" i="14"/>
  <c r="U161" i="14"/>
  <c r="U157" i="14"/>
  <c r="U166" i="14"/>
  <c r="U158" i="14"/>
  <c r="U147" i="14"/>
  <c r="U149" i="14"/>
  <c r="U152" i="14"/>
  <c r="U150" i="14"/>
  <c r="U142" i="14"/>
  <c r="U151" i="14"/>
  <c r="U120" i="14"/>
  <c r="U132" i="14"/>
  <c r="U133" i="14"/>
  <c r="U134" i="14"/>
  <c r="U129" i="14"/>
  <c r="U138" i="14"/>
  <c r="U137" i="14"/>
  <c r="U130" i="14"/>
  <c r="U135" i="14"/>
  <c r="U131" i="14"/>
  <c r="U126" i="14"/>
  <c r="U136" i="14"/>
  <c r="U127" i="14"/>
  <c r="U117" i="14"/>
  <c r="U118" i="14"/>
  <c r="U119" i="14"/>
  <c r="U114" i="14"/>
  <c r="U123" i="14"/>
  <c r="U122" i="14"/>
  <c r="U115" i="14"/>
  <c r="U121" i="14"/>
  <c r="U99" i="14"/>
  <c r="U108" i="14"/>
  <c r="U107" i="14"/>
  <c r="U100" i="14"/>
  <c r="U105" i="14"/>
  <c r="U101" i="14"/>
  <c r="U96" i="14"/>
  <c r="U106" i="14"/>
  <c r="U97" i="14"/>
  <c r="U153" i="14"/>
  <c r="U144" i="14"/>
  <c r="U112" i="14"/>
  <c r="U148" i="14"/>
  <c r="U146" i="14"/>
  <c r="U143" i="14"/>
  <c r="U116" i="14"/>
  <c r="U145" i="14"/>
  <c r="U111" i="14"/>
  <c r="U87" i="14"/>
  <c r="U88" i="14"/>
  <c r="U93" i="14"/>
  <c r="U91" i="14"/>
  <c r="U211" i="14"/>
  <c r="U169" i="14"/>
  <c r="U170" i="14"/>
  <c r="U154" i="14"/>
  <c r="U155" i="14"/>
  <c r="U139" i="14"/>
  <c r="U124" i="14"/>
  <c r="U125" i="14"/>
  <c r="U110" i="14"/>
  <c r="U95" i="14"/>
  <c r="U89" i="14"/>
  <c r="U90" i="14"/>
  <c r="U92" i="14"/>
  <c r="U109" i="14"/>
  <c r="U86" i="14"/>
  <c r="U69" i="14"/>
  <c r="U72" i="14"/>
  <c r="U57" i="14"/>
  <c r="U22" i="14"/>
  <c r="U94" i="14"/>
  <c r="U71" i="14"/>
  <c r="U437" i="14"/>
  <c r="U436" i="14"/>
  <c r="U435" i="14"/>
  <c r="U434" i="14"/>
  <c r="U433" i="14"/>
  <c r="U432" i="14"/>
  <c r="U431" i="14"/>
  <c r="U430" i="14"/>
  <c r="U429" i="14"/>
  <c r="U428" i="14"/>
  <c r="U427" i="14"/>
  <c r="U426" i="14"/>
  <c r="U425" i="14"/>
  <c r="U424" i="14"/>
  <c r="U48" i="14"/>
  <c r="U66" i="14"/>
  <c r="U83" i="14"/>
  <c r="U98" i="14"/>
  <c r="U113" i="14"/>
  <c r="U128" i="14"/>
  <c r="U141" i="14"/>
  <c r="U156" i="14"/>
  <c r="U171" i="14"/>
  <c r="U184" i="14"/>
  <c r="U199" i="14"/>
  <c r="U212" i="14"/>
  <c r="U227" i="14"/>
  <c r="U242" i="14"/>
  <c r="U256" i="14"/>
  <c r="U263" i="14"/>
  <c r="U305" i="14"/>
  <c r="U345" i="14"/>
  <c r="U369" i="14"/>
  <c r="U270" i="14"/>
  <c r="U321" i="14"/>
  <c r="U361" i="14"/>
  <c r="U377" i="14"/>
  <c r="U393" i="14"/>
  <c r="U417" i="14"/>
  <c r="U420" i="14"/>
  <c r="U421" i="14"/>
  <c r="U422" i="14"/>
  <c r="U423" i="14"/>
  <c r="U412" i="14"/>
  <c r="U413" i="14"/>
  <c r="U415" i="14"/>
  <c r="U404" i="14"/>
  <c r="U405" i="14"/>
  <c r="U407" i="14"/>
  <c r="U396" i="14"/>
  <c r="U398" i="14"/>
  <c r="U388" i="14"/>
  <c r="U391" i="14"/>
  <c r="U382" i="14"/>
  <c r="U373" i="14"/>
  <c r="U366" i="14"/>
  <c r="U356" i="14"/>
  <c r="U357" i="14"/>
  <c r="U358" i="14"/>
  <c r="U359" i="14"/>
  <c r="U414" i="14"/>
  <c r="U399" i="14"/>
  <c r="U389" i="14"/>
  <c r="U380" i="14"/>
  <c r="U372" i="14"/>
  <c r="U375" i="14"/>
  <c r="U364" i="14"/>
  <c r="U367" i="14"/>
  <c r="U406" i="14"/>
  <c r="U397" i="14"/>
  <c r="U390" i="14"/>
  <c r="U381" i="14"/>
  <c r="U383" i="14"/>
  <c r="U374" i="14"/>
  <c r="U365" i="14"/>
  <c r="U348" i="14"/>
  <c r="U349" i="14"/>
  <c r="U350" i="14"/>
  <c r="U340" i="14"/>
  <c r="U341" i="14"/>
  <c r="U342" i="14"/>
  <c r="U286" i="14"/>
  <c r="U287" i="14"/>
  <c r="U288" i="14"/>
  <c r="U289" i="14"/>
  <c r="U279" i="14"/>
  <c r="U280" i="14"/>
  <c r="U281" i="14"/>
  <c r="U282" i="14"/>
  <c r="U272" i="14"/>
  <c r="U273" i="14"/>
  <c r="U274" i="14"/>
  <c r="U275" i="14"/>
  <c r="U265" i="14"/>
  <c r="U266" i="14"/>
  <c r="U267" i="14"/>
  <c r="U268" i="14"/>
  <c r="U258" i="14"/>
  <c r="U259" i="14"/>
  <c r="U261" i="14"/>
  <c r="U244" i="14"/>
  <c r="U315" i="14"/>
  <c r="U323" i="14"/>
  <c r="U331" i="14"/>
  <c r="U339" i="14"/>
  <c r="U347" i="14"/>
  <c r="U355" i="14"/>
  <c r="U363" i="14"/>
  <c r="U371" i="14"/>
  <c r="U379" i="14"/>
  <c r="U387" i="14"/>
  <c r="U395" i="14"/>
  <c r="U403" i="14"/>
  <c r="U411" i="14"/>
  <c r="U419" i="14"/>
  <c r="U332" i="14"/>
  <c r="U327" i="14"/>
  <c r="U318" i="14"/>
  <c r="U310" i="14"/>
  <c r="U302" i="14"/>
  <c r="U294" i="14"/>
  <c r="U252" i="14"/>
  <c r="U247" i="14"/>
  <c r="U333" i="14"/>
  <c r="U326" i="14"/>
  <c r="U319" i="14"/>
  <c r="U309" i="14"/>
  <c r="U301" i="14"/>
  <c r="U295" i="14"/>
  <c r="U251" i="14"/>
  <c r="U246" i="14"/>
  <c r="U343" i="14"/>
  <c r="U324" i="14"/>
  <c r="U316" i="14"/>
  <c r="U311" i="14"/>
  <c r="U303" i="14"/>
  <c r="U296" i="14"/>
  <c r="U260" i="14"/>
  <c r="U245" i="14"/>
  <c r="U307" i="14"/>
  <c r="U292" i="14"/>
  <c r="U262" i="14"/>
  <c r="U283" i="14"/>
  <c r="U290" i="14"/>
  <c r="U304" i="14"/>
  <c r="U312" i="14"/>
  <c r="U320" i="14"/>
  <c r="U255" i="14"/>
  <c r="U352" i="14"/>
  <c r="U354" i="14"/>
  <c r="U362" i="14"/>
  <c r="U370" i="14"/>
  <c r="U378" i="14"/>
  <c r="U386" i="14"/>
  <c r="U418" i="14"/>
  <c r="U306" i="14"/>
  <c r="U314" i="14"/>
  <c r="U322" i="14"/>
  <c r="U330" i="14"/>
  <c r="U346" i="14"/>
  <c r="U257" i="14"/>
  <c r="U271" i="14"/>
  <c r="U285" i="14"/>
  <c r="U250" i="14"/>
  <c r="U243" i="14"/>
  <c r="U299" i="14"/>
  <c r="U338" i="14"/>
  <c r="U264" i="14"/>
  <c r="U278" i="14"/>
  <c r="U229" i="14"/>
  <c r="U234" i="14"/>
  <c r="U235" i="14"/>
  <c r="U236" i="14"/>
  <c r="U230" i="14"/>
  <c r="U240" i="14"/>
  <c r="U239" i="14"/>
  <c r="U228" i="14"/>
  <c r="U237" i="14"/>
  <c r="U231" i="14"/>
  <c r="U232" i="14"/>
  <c r="U238" i="14"/>
  <c r="U233" i="14"/>
  <c r="U214" i="14"/>
  <c r="U220" i="14"/>
  <c r="U225" i="14"/>
  <c r="U224" i="14"/>
  <c r="U222" i="14"/>
  <c r="U218" i="14"/>
  <c r="U197" i="14"/>
  <c r="U187" i="14"/>
  <c r="U204" i="14"/>
  <c r="U205" i="14"/>
  <c r="U206" i="14"/>
  <c r="U200" i="14"/>
  <c r="U210" i="14"/>
  <c r="U209" i="14"/>
  <c r="U201" i="14"/>
  <c r="U207" i="14"/>
  <c r="U203" i="14"/>
  <c r="U202" i="14"/>
  <c r="U208" i="14"/>
  <c r="U186" i="14"/>
  <c r="U190" i="14"/>
  <c r="U176" i="14"/>
  <c r="U177" i="14"/>
  <c r="U178" i="14"/>
  <c r="U182" i="14"/>
  <c r="U181" i="14"/>
  <c r="U175" i="14"/>
  <c r="U180" i="14"/>
  <c r="U185" i="14"/>
  <c r="U191" i="14"/>
  <c r="U196" i="14"/>
  <c r="U195" i="14"/>
  <c r="U192" i="14"/>
  <c r="U194" i="14"/>
  <c r="U188" i="14"/>
  <c r="U215" i="14"/>
  <c r="U223" i="14"/>
  <c r="U193" i="14"/>
  <c r="U189" i="14"/>
  <c r="U198" i="14"/>
  <c r="U183" i="14"/>
  <c r="U140" i="14"/>
  <c r="U226" i="14"/>
  <c r="U17" i="14"/>
  <c r="U20" i="14"/>
  <c r="U18" i="14"/>
  <c r="U19" i="14"/>
  <c r="U16" i="14"/>
  <c r="U65" i="14"/>
  <c r="U43" i="14"/>
  <c r="U61" i="14"/>
  <c r="U38" i="14"/>
  <c r="U42" i="14"/>
  <c r="U41" i="14"/>
  <c r="U60" i="14"/>
  <c r="U51" i="14"/>
  <c r="U31" i="14"/>
  <c r="U36" i="14"/>
  <c r="U56" i="14"/>
  <c r="U35" i="14"/>
  <c r="U55" i="14"/>
  <c r="U34" i="14"/>
  <c r="U54" i="14"/>
  <c r="U47" i="14"/>
  <c r="U26" i="14"/>
  <c r="U64" i="14"/>
  <c r="U39" i="14"/>
  <c r="U58" i="14"/>
  <c r="U25" i="14"/>
  <c r="U46" i="14"/>
  <c r="U63" i="14"/>
  <c r="U53" i="14"/>
  <c r="U33" i="14"/>
  <c r="U52" i="14"/>
  <c r="U32" i="14"/>
  <c r="U40" i="14"/>
  <c r="U59" i="14"/>
  <c r="U269" i="14"/>
  <c r="U21" i="14"/>
  <c r="U15" i="14"/>
  <c r="U11" i="14"/>
  <c r="U13" i="14"/>
  <c r="U8" i="14"/>
  <c r="U6" i="14"/>
  <c r="U9" i="14"/>
  <c r="U14" i="14"/>
  <c r="U7" i="14"/>
  <c r="U12" i="14"/>
  <c r="U10" i="14"/>
  <c r="T3" i="14"/>
  <c r="H3" i="14"/>
  <c r="R5" i="14"/>
  <c r="S5" i="14" s="1"/>
  <c r="Q3" i="14"/>
  <c r="H153" i="12"/>
  <c r="P153" i="12"/>
  <c r="H73" i="12"/>
  <c r="P73" i="12"/>
  <c r="L73" i="12"/>
  <c r="L153" i="12"/>
  <c r="J42" i="12"/>
  <c r="L42" i="12"/>
  <c r="J24" i="12"/>
  <c r="L24" i="12"/>
  <c r="J134" i="12"/>
  <c r="L134" i="12"/>
  <c r="J111" i="12"/>
  <c r="L111" i="12"/>
  <c r="J138" i="12"/>
  <c r="L138" i="12"/>
  <c r="J148" i="12"/>
  <c r="L148" i="12"/>
  <c r="J77" i="12"/>
  <c r="L77" i="12"/>
  <c r="J183" i="12"/>
  <c r="L183" i="12"/>
  <c r="J185" i="12"/>
  <c r="L185" i="12"/>
  <c r="J46" i="12"/>
  <c r="L46" i="12"/>
  <c r="J143" i="12"/>
  <c r="L143" i="12"/>
  <c r="J119" i="12"/>
  <c r="L119" i="12"/>
  <c r="J18" i="12"/>
  <c r="L18" i="12"/>
  <c r="J151" i="12"/>
  <c r="L151" i="12"/>
  <c r="J56" i="12"/>
  <c r="L56" i="12"/>
  <c r="J32" i="12"/>
  <c r="L32" i="12"/>
  <c r="J155" i="12"/>
  <c r="L155" i="12"/>
  <c r="J182" i="12"/>
  <c r="L182" i="12"/>
  <c r="J109" i="12"/>
  <c r="L109" i="12"/>
  <c r="J80" i="12"/>
  <c r="L80" i="12"/>
  <c r="J106" i="12"/>
  <c r="L106" i="12"/>
  <c r="J78" i="12"/>
  <c r="L78" i="12"/>
  <c r="J62" i="12"/>
  <c r="L62" i="12"/>
  <c r="J16" i="12"/>
  <c r="L16" i="12"/>
  <c r="J160" i="12"/>
  <c r="L160" i="12"/>
  <c r="J83" i="12"/>
  <c r="L83" i="12"/>
  <c r="J40" i="12"/>
  <c r="L40" i="12"/>
  <c r="J164" i="12"/>
  <c r="L164" i="12"/>
  <c r="J44" i="12"/>
  <c r="L44" i="12"/>
  <c r="J125" i="12"/>
  <c r="L125" i="12"/>
  <c r="J29" i="12"/>
  <c r="L29" i="12"/>
  <c r="J154" i="12"/>
  <c r="L154" i="12"/>
  <c r="O154" i="12" s="1"/>
  <c r="J94" i="12"/>
  <c r="L94" i="12"/>
  <c r="J28" i="12"/>
  <c r="L28" i="12"/>
  <c r="J14" i="12"/>
  <c r="L14" i="12"/>
  <c r="J47" i="12"/>
  <c r="L47" i="12"/>
  <c r="J91" i="12"/>
  <c r="L91" i="12"/>
  <c r="J67" i="12"/>
  <c r="L67" i="12"/>
  <c r="J181" i="12"/>
  <c r="L181" i="12"/>
  <c r="J60" i="12"/>
  <c r="L60" i="12"/>
  <c r="J141" i="12"/>
  <c r="L141" i="12"/>
  <c r="J99" i="12"/>
  <c r="L99" i="12"/>
  <c r="J75" i="12"/>
  <c r="L75" i="12"/>
  <c r="J110" i="12"/>
  <c r="L110" i="12"/>
  <c r="J90" i="12"/>
  <c r="L90" i="12"/>
  <c r="J63" i="12"/>
  <c r="L63" i="12"/>
  <c r="J55" i="12"/>
  <c r="L55" i="12"/>
  <c r="J118" i="12"/>
  <c r="L118" i="12"/>
  <c r="J102" i="12"/>
  <c r="L102" i="12"/>
  <c r="J51" i="12"/>
  <c r="L51" i="12"/>
  <c r="J76" i="12"/>
  <c r="L76" i="12"/>
  <c r="J157" i="12"/>
  <c r="L157" i="12"/>
  <c r="J163" i="12"/>
  <c r="L163" i="12"/>
  <c r="J107" i="12"/>
  <c r="L107" i="12"/>
  <c r="J126" i="12"/>
  <c r="L126" i="12"/>
  <c r="J159" i="12"/>
  <c r="L159" i="12"/>
  <c r="J147" i="12"/>
  <c r="L147" i="12"/>
  <c r="J17" i="12"/>
  <c r="L17" i="12"/>
  <c r="J71" i="12"/>
  <c r="L71" i="12"/>
  <c r="J82" i="12"/>
  <c r="L82" i="12"/>
  <c r="O82" i="12" s="1"/>
  <c r="J31" i="12"/>
  <c r="L31" i="12"/>
  <c r="J146" i="12"/>
  <c r="L146" i="12"/>
  <c r="O146" i="12" s="1"/>
  <c r="J59" i="12"/>
  <c r="L59" i="12"/>
  <c r="J92" i="12"/>
  <c r="L92" i="12"/>
  <c r="J173" i="12"/>
  <c r="L173" i="12"/>
  <c r="J36" i="12"/>
  <c r="L36" i="12"/>
  <c r="J171" i="12"/>
  <c r="L171" i="12"/>
  <c r="J142" i="12"/>
  <c r="L142" i="12"/>
  <c r="J93" i="12"/>
  <c r="L93" i="12"/>
  <c r="J12" i="12"/>
  <c r="L12" i="12"/>
  <c r="J98" i="12"/>
  <c r="L98" i="12"/>
  <c r="O98" i="12" s="1"/>
  <c r="J117" i="12"/>
  <c r="L117" i="12"/>
  <c r="J39" i="12"/>
  <c r="L39" i="12"/>
  <c r="J50" i="12"/>
  <c r="L50" i="12"/>
  <c r="O50" i="12" s="1"/>
  <c r="J86" i="12"/>
  <c r="L86" i="12"/>
  <c r="J108" i="12"/>
  <c r="L108" i="12"/>
  <c r="J27" i="12"/>
  <c r="L27" i="12"/>
  <c r="J84" i="12"/>
  <c r="L84" i="12"/>
  <c r="J88" i="12"/>
  <c r="L88" i="12"/>
  <c r="J158" i="12"/>
  <c r="L158" i="12"/>
  <c r="L10" i="12"/>
  <c r="J165" i="12"/>
  <c r="L165" i="12"/>
  <c r="J20" i="12"/>
  <c r="L20" i="12"/>
  <c r="J133" i="12"/>
  <c r="L133" i="12"/>
  <c r="J38" i="12"/>
  <c r="L38" i="12"/>
  <c r="J66" i="12"/>
  <c r="L66" i="12"/>
  <c r="O66" i="12" s="1"/>
  <c r="J58" i="12"/>
  <c r="L58" i="12"/>
  <c r="J26" i="12"/>
  <c r="L26" i="12"/>
  <c r="J124" i="12"/>
  <c r="L124" i="12"/>
  <c r="J35" i="12"/>
  <c r="L35" i="12"/>
  <c r="J116" i="12"/>
  <c r="L116" i="12"/>
  <c r="J156" i="12"/>
  <c r="L156" i="12"/>
  <c r="J174" i="12"/>
  <c r="L174" i="12"/>
  <c r="J48" i="12"/>
  <c r="L48" i="12"/>
  <c r="J11" i="12"/>
  <c r="L11" i="12"/>
  <c r="J150" i="12"/>
  <c r="L150" i="12"/>
  <c r="J100" i="12"/>
  <c r="L100" i="12"/>
  <c r="J74" i="12"/>
  <c r="L74" i="12"/>
  <c r="O74" i="12" s="1"/>
  <c r="J85" i="12"/>
  <c r="L85" i="12"/>
  <c r="J34" i="12"/>
  <c r="L34" i="12"/>
  <c r="O34" i="12" s="1"/>
  <c r="J52" i="12"/>
  <c r="L52" i="12"/>
  <c r="J43" i="12"/>
  <c r="L43" i="12"/>
  <c r="J180" i="12"/>
  <c r="L180" i="12"/>
  <c r="J172" i="12"/>
  <c r="L172" i="12"/>
  <c r="J105" i="12"/>
  <c r="L105" i="12"/>
  <c r="J112" i="12"/>
  <c r="L112" i="12"/>
  <c r="J30" i="12"/>
  <c r="L30" i="12"/>
  <c r="J13" i="12"/>
  <c r="L13" i="12"/>
  <c r="J167" i="12"/>
  <c r="L167" i="12"/>
  <c r="J135" i="12"/>
  <c r="L135" i="12"/>
  <c r="J128" i="12"/>
  <c r="L128" i="12"/>
  <c r="J120" i="12"/>
  <c r="L120" i="12"/>
  <c r="J69" i="12"/>
  <c r="L69" i="12"/>
  <c r="J87" i="12"/>
  <c r="L87" i="12"/>
  <c r="J132" i="12"/>
  <c r="L132" i="12"/>
  <c r="J72" i="12"/>
  <c r="L72" i="12"/>
  <c r="J115" i="12"/>
  <c r="L115" i="12"/>
  <c r="J121" i="12"/>
  <c r="L121" i="12"/>
  <c r="J127" i="12"/>
  <c r="L127" i="12"/>
  <c r="J53" i="12"/>
  <c r="L53" i="12"/>
  <c r="J21" i="12"/>
  <c r="L21" i="12"/>
  <c r="J176" i="12"/>
  <c r="L176" i="12"/>
  <c r="J144" i="12"/>
  <c r="L144" i="12"/>
  <c r="J136" i="12"/>
  <c r="L136" i="12"/>
  <c r="J68" i="12"/>
  <c r="L68" i="12"/>
  <c r="J96" i="12"/>
  <c r="L96" i="12"/>
  <c r="J114" i="12"/>
  <c r="L114" i="12"/>
  <c r="O114" i="12" s="1"/>
  <c r="J140" i="12"/>
  <c r="L140" i="12"/>
  <c r="J168" i="12"/>
  <c r="L168" i="12"/>
  <c r="J123" i="12"/>
  <c r="L123" i="12"/>
  <c r="J19" i="12"/>
  <c r="L19" i="12"/>
  <c r="J101" i="12"/>
  <c r="L101" i="12"/>
  <c r="J70" i="12"/>
  <c r="L70" i="12"/>
  <c r="J169" i="12"/>
  <c r="L169" i="12"/>
  <c r="J15" i="12"/>
  <c r="L15" i="12"/>
  <c r="J54" i="12"/>
  <c r="L54" i="12"/>
  <c r="J152" i="12"/>
  <c r="L152" i="12"/>
  <c r="J162" i="12"/>
  <c r="L162" i="12"/>
  <c r="O162" i="12" s="1"/>
  <c r="J95" i="12"/>
  <c r="L95" i="12"/>
  <c r="J104" i="12"/>
  <c r="L104" i="12"/>
  <c r="J122" i="12"/>
  <c r="L122" i="12"/>
  <c r="J149" i="12"/>
  <c r="L149" i="12"/>
  <c r="J184" i="12"/>
  <c r="L184" i="12"/>
  <c r="J25" i="12"/>
  <c r="L25" i="12"/>
  <c r="J23" i="12"/>
  <c r="L23" i="12"/>
  <c r="J37" i="12"/>
  <c r="L37" i="12"/>
  <c r="J178" i="12"/>
  <c r="L178" i="12"/>
  <c r="O178" i="12" s="1"/>
  <c r="J170" i="12"/>
  <c r="L170" i="12"/>
  <c r="J103" i="12"/>
  <c r="L103" i="12"/>
  <c r="J131" i="12"/>
  <c r="L131" i="12"/>
  <c r="J45" i="12"/>
  <c r="L45" i="12"/>
  <c r="J166" i="12"/>
  <c r="L166" i="12"/>
  <c r="J89" i="12"/>
  <c r="L89" i="12"/>
  <c r="J41" i="12"/>
  <c r="L41" i="12"/>
  <c r="J79" i="12"/>
  <c r="L79" i="12"/>
  <c r="J22" i="12"/>
  <c r="L22" i="12"/>
  <c r="J64" i="12"/>
  <c r="L64" i="12"/>
  <c r="J186" i="12"/>
  <c r="L186" i="12"/>
  <c r="J179" i="12"/>
  <c r="L179" i="12"/>
  <c r="J130" i="12"/>
  <c r="L130" i="12"/>
  <c r="O130" i="12" s="1"/>
  <c r="J139" i="12"/>
  <c r="L139" i="12"/>
  <c r="J61" i="12"/>
  <c r="L61" i="12"/>
  <c r="J175" i="12"/>
  <c r="L175" i="12"/>
  <c r="J137" i="12"/>
  <c r="L137" i="12"/>
  <c r="J57" i="12"/>
  <c r="L57" i="12"/>
  <c r="H47" i="12"/>
  <c r="H91" i="12"/>
  <c r="H67" i="12"/>
  <c r="H181" i="12"/>
  <c r="H60" i="12"/>
  <c r="H141" i="12"/>
  <c r="H99" i="12"/>
  <c r="H75" i="12"/>
  <c r="H110" i="12"/>
  <c r="H63" i="12"/>
  <c r="H55" i="12"/>
  <c r="H118" i="12"/>
  <c r="H102" i="12"/>
  <c r="H51" i="12"/>
  <c r="H76" i="12"/>
  <c r="H157" i="12"/>
  <c r="H163" i="12"/>
  <c r="H107" i="12"/>
  <c r="H126" i="12"/>
  <c r="H17" i="12"/>
  <c r="H71" i="12"/>
  <c r="H82" i="12"/>
  <c r="H31" i="12"/>
  <c r="H146" i="12"/>
  <c r="H59" i="12"/>
  <c r="H92" i="12"/>
  <c r="H173" i="12"/>
  <c r="H36" i="12"/>
  <c r="H171" i="12"/>
  <c r="H142" i="12"/>
  <c r="H98" i="12"/>
  <c r="H117" i="12"/>
  <c r="H39" i="12"/>
  <c r="H50" i="12"/>
  <c r="H86" i="12"/>
  <c r="H108" i="12"/>
  <c r="H27" i="12"/>
  <c r="H84" i="12"/>
  <c r="H88" i="12"/>
  <c r="H158" i="12"/>
  <c r="H20" i="12"/>
  <c r="H133" i="12"/>
  <c r="H38" i="12"/>
  <c r="H66" i="12"/>
  <c r="H58" i="12"/>
  <c r="H26" i="12"/>
  <c r="H124" i="12"/>
  <c r="H35" i="12"/>
  <c r="H116" i="12"/>
  <c r="H156" i="12"/>
  <c r="H174" i="12"/>
  <c r="H150" i="12"/>
  <c r="H100" i="12"/>
  <c r="H74" i="12"/>
  <c r="H85" i="12"/>
  <c r="H34" i="12"/>
  <c r="H52" i="12"/>
  <c r="H43" i="12"/>
  <c r="H180" i="12"/>
  <c r="H172" i="12"/>
  <c r="H105" i="12"/>
  <c r="H19" i="12"/>
  <c r="H159" i="12"/>
  <c r="H127" i="12"/>
  <c r="H101" i="12"/>
  <c r="H112" i="12"/>
  <c r="H42" i="12"/>
  <c r="H79" i="12"/>
  <c r="H70" i="12"/>
  <c r="H53" i="12"/>
  <c r="H30" i="12"/>
  <c r="H169" i="12"/>
  <c r="H167" i="12"/>
  <c r="H135" i="12"/>
  <c r="H128" i="12"/>
  <c r="H120" i="12"/>
  <c r="H69" i="12"/>
  <c r="H87" i="12"/>
  <c r="H132" i="12"/>
  <c r="H72" i="12"/>
  <c r="H115" i="12"/>
  <c r="H121" i="12"/>
  <c r="H21" i="12"/>
  <c r="H176" i="12"/>
  <c r="H144" i="12"/>
  <c r="H136" i="12"/>
  <c r="H68" i="12"/>
  <c r="H96" i="12"/>
  <c r="H114" i="12"/>
  <c r="H140" i="12"/>
  <c r="H168" i="12"/>
  <c r="H123" i="12"/>
  <c r="H54" i="12"/>
  <c r="H152" i="12"/>
  <c r="H162" i="12"/>
  <c r="H95" i="12"/>
  <c r="H104" i="12"/>
  <c r="H122" i="12"/>
  <c r="H149" i="12"/>
  <c r="H184" i="12"/>
  <c r="H25" i="12"/>
  <c r="H23" i="12"/>
  <c r="H37" i="12"/>
  <c r="H178" i="12"/>
  <c r="H170" i="12"/>
  <c r="H103" i="12"/>
  <c r="H131" i="12"/>
  <c r="H45" i="12"/>
  <c r="H166" i="12"/>
  <c r="H89" i="12"/>
  <c r="H41" i="12"/>
  <c r="H22" i="12"/>
  <c r="H64" i="12"/>
  <c r="H186" i="12"/>
  <c r="H179" i="12"/>
  <c r="H130" i="12"/>
  <c r="H139" i="12"/>
  <c r="H61" i="12"/>
  <c r="H175" i="12"/>
  <c r="H137" i="12"/>
  <c r="H57" i="12"/>
  <c r="H24" i="12"/>
  <c r="H134" i="12"/>
  <c r="H111" i="12"/>
  <c r="H138" i="12"/>
  <c r="H148" i="12"/>
  <c r="H77" i="12"/>
  <c r="H183" i="12"/>
  <c r="H185" i="12"/>
  <c r="H46" i="12"/>
  <c r="H143" i="12"/>
  <c r="H48" i="12"/>
  <c r="H119" i="12"/>
  <c r="H147" i="12"/>
  <c r="H165" i="12"/>
  <c r="H93" i="12"/>
  <c r="H28" i="12"/>
  <c r="H90" i="12"/>
  <c r="H62" i="12"/>
  <c r="H18" i="12"/>
  <c r="H151" i="12"/>
  <c r="H56" i="12"/>
  <c r="H32" i="12"/>
  <c r="H155" i="12"/>
  <c r="H182" i="12"/>
  <c r="H109" i="12"/>
  <c r="H80" i="12"/>
  <c r="H106" i="12"/>
  <c r="H78" i="12"/>
  <c r="H160" i="12"/>
  <c r="H83" i="12"/>
  <c r="H40" i="12"/>
  <c r="H164" i="12"/>
  <c r="H44" i="12"/>
  <c r="H125" i="12"/>
  <c r="H29" i="12"/>
  <c r="H154" i="12"/>
  <c r="H94" i="12"/>
  <c r="P9" i="12"/>
  <c r="P20" i="12"/>
  <c r="P133" i="12"/>
  <c r="P38" i="12"/>
  <c r="P66" i="12"/>
  <c r="P58" i="12"/>
  <c r="P124" i="12"/>
  <c r="P35" i="12"/>
  <c r="P116" i="12"/>
  <c r="P156" i="12"/>
  <c r="P174" i="12"/>
  <c r="P52" i="12"/>
  <c r="P19" i="12"/>
  <c r="P159" i="12"/>
  <c r="P127" i="12"/>
  <c r="P101" i="12"/>
  <c r="P112" i="12"/>
  <c r="P42" i="12"/>
  <c r="P79" i="12"/>
  <c r="P30" i="12"/>
  <c r="P169" i="12"/>
  <c r="P100" i="12"/>
  <c r="P13" i="12"/>
  <c r="P167" i="12"/>
  <c r="P135" i="12"/>
  <c r="P128" i="12"/>
  <c r="P120" i="12"/>
  <c r="P69" i="12"/>
  <c r="P87" i="12"/>
  <c r="P132" i="12"/>
  <c r="P72" i="12"/>
  <c r="P115" i="12"/>
  <c r="P121" i="12"/>
  <c r="P172" i="12"/>
  <c r="P21" i="12"/>
  <c r="P176" i="12"/>
  <c r="P144" i="12"/>
  <c r="P68" i="12"/>
  <c r="P96" i="12"/>
  <c r="P114" i="12"/>
  <c r="P140" i="12"/>
  <c r="P168" i="12"/>
  <c r="P123" i="12"/>
  <c r="P180" i="12"/>
  <c r="P15" i="12"/>
  <c r="P54" i="12"/>
  <c r="P152" i="12"/>
  <c r="P162" i="12"/>
  <c r="P95" i="12"/>
  <c r="P122" i="12"/>
  <c r="P149" i="12"/>
  <c r="P184" i="12"/>
  <c r="P105" i="12"/>
  <c r="P23" i="12"/>
  <c r="P37" i="12"/>
  <c r="P178" i="12"/>
  <c r="P170" i="12"/>
  <c r="P103" i="12"/>
  <c r="P131" i="12"/>
  <c r="P45" i="12"/>
  <c r="P166" i="12"/>
  <c r="P89" i="12"/>
  <c r="P41" i="12"/>
  <c r="P34" i="12"/>
  <c r="P22" i="12"/>
  <c r="P64" i="12"/>
  <c r="P186" i="12"/>
  <c r="P179" i="12"/>
  <c r="P130" i="12"/>
  <c r="P139" i="12"/>
  <c r="P61" i="12"/>
  <c r="P175" i="12"/>
  <c r="P137" i="12"/>
  <c r="P43" i="12"/>
  <c r="P24" i="12"/>
  <c r="P134" i="12"/>
  <c r="P111" i="12"/>
  <c r="P138" i="12"/>
  <c r="P77" i="12"/>
  <c r="P183" i="12"/>
  <c r="P46" i="12"/>
  <c r="P143" i="12"/>
  <c r="P48" i="12"/>
  <c r="P119" i="12"/>
  <c r="P147" i="12"/>
  <c r="P165" i="12"/>
  <c r="P93" i="12"/>
  <c r="P28" i="12"/>
  <c r="P90" i="12"/>
  <c r="P62" i="12"/>
  <c r="P11" i="12"/>
  <c r="P18" i="12"/>
  <c r="P151" i="12"/>
  <c r="P56" i="12"/>
  <c r="P32" i="12"/>
  <c r="P155" i="12"/>
  <c r="P182" i="12"/>
  <c r="P109" i="12"/>
  <c r="P80" i="12"/>
  <c r="P106" i="12"/>
  <c r="P78" i="12"/>
  <c r="P16" i="12"/>
  <c r="P83" i="12"/>
  <c r="P40" i="12"/>
  <c r="P164" i="12"/>
  <c r="P44" i="12"/>
  <c r="P125" i="12"/>
  <c r="P29" i="12"/>
  <c r="P94" i="12"/>
  <c r="P14" i="12"/>
  <c r="P47" i="12"/>
  <c r="P91" i="12"/>
  <c r="P67" i="12"/>
  <c r="P181" i="12"/>
  <c r="P60" i="12"/>
  <c r="P141" i="12"/>
  <c r="P99" i="12"/>
  <c r="P75" i="12"/>
  <c r="P110" i="12"/>
  <c r="P85" i="12"/>
  <c r="P63" i="12"/>
  <c r="P55" i="12"/>
  <c r="P118" i="12"/>
  <c r="P102" i="12"/>
  <c r="P51" i="12"/>
  <c r="P76" i="12"/>
  <c r="P157" i="12"/>
  <c r="P163" i="12"/>
  <c r="P107" i="12"/>
  <c r="P126" i="12"/>
  <c r="P74" i="12"/>
  <c r="P17" i="12"/>
  <c r="P71" i="12"/>
  <c r="P82" i="12"/>
  <c r="P31" i="12"/>
  <c r="P146" i="12"/>
  <c r="P59" i="12"/>
  <c r="P92" i="12"/>
  <c r="P173" i="12"/>
  <c r="P36" i="12"/>
  <c r="P171" i="12"/>
  <c r="P142" i="12"/>
  <c r="P150" i="12"/>
  <c r="P12" i="12"/>
  <c r="P98" i="12"/>
  <c r="P117" i="12"/>
  <c r="P39" i="12"/>
  <c r="P50" i="12"/>
  <c r="P108" i="12"/>
  <c r="P27" i="12"/>
  <c r="P84" i="12"/>
  <c r="P88" i="12"/>
  <c r="P158" i="12"/>
  <c r="P10" i="12"/>
  <c r="P104" i="12"/>
  <c r="P25" i="12"/>
  <c r="P57" i="12"/>
  <c r="P70" i="12"/>
  <c r="P160" i="12"/>
  <c r="P148" i="12"/>
  <c r="P53" i="12"/>
  <c r="P185" i="12"/>
  <c r="P86" i="12"/>
  <c r="P26" i="12"/>
  <c r="P136" i="12"/>
  <c r="P154" i="12"/>
  <c r="I9" i="12"/>
  <c r="U5" i="14" l="1"/>
  <c r="U3" i="14" s="1"/>
  <c r="R3" i="14"/>
  <c r="S3" i="14"/>
  <c r="O43" i="12"/>
  <c r="O186" i="12"/>
  <c r="O95" i="12"/>
  <c r="O156" i="12"/>
  <c r="O103" i="12"/>
  <c r="O48" i="12"/>
  <c r="Q9" i="12"/>
  <c r="O104" i="12"/>
  <c r="O139" i="12"/>
  <c r="O168" i="12"/>
  <c r="O69" i="12"/>
  <c r="O45" i="12"/>
  <c r="O112" i="12"/>
  <c r="O165" i="12"/>
  <c r="O107" i="12"/>
  <c r="O175" i="12"/>
  <c r="O19" i="12"/>
  <c r="O126" i="12"/>
  <c r="O53" i="12"/>
  <c r="O120" i="12"/>
  <c r="O158" i="12"/>
  <c r="O92" i="12"/>
  <c r="O32" i="12"/>
  <c r="O54" i="12"/>
  <c r="O159" i="12"/>
  <c r="O118" i="12"/>
  <c r="O60" i="12"/>
  <c r="O149" i="12"/>
  <c r="O64" i="12"/>
  <c r="O68" i="12"/>
  <c r="O108" i="12"/>
  <c r="O79" i="12"/>
  <c r="O152" i="12"/>
  <c r="O177" i="12"/>
  <c r="O113" i="12"/>
  <c r="O21" i="12"/>
  <c r="O153" i="12"/>
  <c r="O161" i="12"/>
  <c r="O172" i="12"/>
  <c r="O26" i="12"/>
  <c r="O117" i="12"/>
  <c r="O33" i="12"/>
  <c r="O179" i="12"/>
  <c r="O15" i="12"/>
  <c r="O129" i="12"/>
  <c r="O169" i="12"/>
  <c r="O96" i="12"/>
  <c r="O135" i="12"/>
  <c r="O87" i="12"/>
  <c r="O49" i="12"/>
  <c r="O145" i="12"/>
  <c r="O97" i="12"/>
  <c r="O65" i="12"/>
  <c r="O72" i="12"/>
  <c r="O142" i="12"/>
  <c r="O110" i="12"/>
  <c r="O73" i="12"/>
  <c r="O81" i="12"/>
  <c r="O41" i="12"/>
  <c r="O144" i="12"/>
  <c r="O76" i="12"/>
  <c r="O184" i="12"/>
  <c r="O127" i="12"/>
  <c r="O59" i="12"/>
  <c r="O131" i="12"/>
  <c r="O121" i="12"/>
  <c r="O63" i="12"/>
  <c r="O78" i="12"/>
  <c r="O57" i="12"/>
  <c r="O22" i="12"/>
  <c r="O133" i="12"/>
  <c r="O30" i="12"/>
  <c r="O116" i="12"/>
  <c r="O86" i="12"/>
  <c r="O61" i="12"/>
  <c r="O123" i="12"/>
  <c r="O89" i="12"/>
  <c r="O137" i="12"/>
  <c r="O157" i="12"/>
  <c r="O176" i="12"/>
  <c r="O35" i="12"/>
  <c r="O17" i="12"/>
  <c r="O99" i="12"/>
  <c r="O28" i="12"/>
  <c r="O83" i="12"/>
  <c r="O182" i="12"/>
  <c r="O23" i="12"/>
  <c r="O105" i="12"/>
  <c r="O39" i="12"/>
  <c r="O173" i="12"/>
  <c r="O147" i="12"/>
  <c r="O102" i="12"/>
  <c r="O141" i="12"/>
  <c r="O94" i="12"/>
  <c r="O160" i="12"/>
  <c r="O155" i="12"/>
  <c r="O185" i="12"/>
  <c r="O124" i="12"/>
  <c r="O37" i="12"/>
  <c r="O36" i="12"/>
  <c r="O51" i="12"/>
  <c r="O46" i="12"/>
  <c r="O24" i="12"/>
  <c r="O100" i="12"/>
  <c r="O166" i="12"/>
  <c r="O25" i="12"/>
  <c r="O140" i="12"/>
  <c r="O150" i="12"/>
  <c r="O16" i="12"/>
  <c r="O183" i="12"/>
  <c r="O128" i="12"/>
  <c r="O180" i="12"/>
  <c r="O11" i="12"/>
  <c r="O58" i="12"/>
  <c r="O88" i="12"/>
  <c r="O55" i="12"/>
  <c r="O181" i="12"/>
  <c r="O29" i="12"/>
  <c r="O62" i="12"/>
  <c r="O56" i="12"/>
  <c r="O77" i="12"/>
  <c r="O42" i="12"/>
  <c r="O84" i="12"/>
  <c r="O12" i="12"/>
  <c r="O67" i="12"/>
  <c r="O125" i="12"/>
  <c r="O151" i="12"/>
  <c r="O148" i="12"/>
  <c r="O122" i="12"/>
  <c r="O70" i="12"/>
  <c r="O115" i="12"/>
  <c r="O167" i="12"/>
  <c r="O52" i="12"/>
  <c r="O174" i="12"/>
  <c r="O38" i="12"/>
  <c r="O27" i="12"/>
  <c r="O93" i="12"/>
  <c r="O31" i="12"/>
  <c r="O163" i="12"/>
  <c r="O90" i="12"/>
  <c r="O91" i="12"/>
  <c r="O44" i="12"/>
  <c r="O106" i="12"/>
  <c r="O18" i="12"/>
  <c r="O138" i="12"/>
  <c r="O170" i="12"/>
  <c r="O101" i="12"/>
  <c r="O136" i="12"/>
  <c r="O13" i="12"/>
  <c r="O47" i="12"/>
  <c r="O164" i="12"/>
  <c r="O80" i="12"/>
  <c r="O119" i="12"/>
  <c r="O111" i="12"/>
  <c r="O132" i="12"/>
  <c r="O85" i="12"/>
  <c r="O20" i="12"/>
  <c r="O171" i="12"/>
  <c r="O71" i="12"/>
  <c r="O75" i="12"/>
  <c r="O14" i="12"/>
  <c r="O40" i="12"/>
  <c r="O109" i="12"/>
  <c r="O143" i="12"/>
  <c r="O134" i="12"/>
  <c r="N10" i="12"/>
  <c r="N11" i="12" s="1"/>
  <c r="N12" i="12" s="1"/>
  <c r="N13" i="12" s="1"/>
  <c r="N14" i="12" s="1"/>
  <c r="N15" i="12" s="1"/>
  <c r="N16" i="12" s="1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O10" i="12"/>
  <c r="N4" i="12"/>
  <c r="N5" i="12"/>
  <c r="O6" i="12" s="1"/>
  <c r="K11" i="12"/>
  <c r="I10" i="12"/>
  <c r="I11" i="12" s="1"/>
  <c r="I12" i="12" s="1"/>
  <c r="K10" i="12"/>
  <c r="K12" i="12"/>
  <c r="N34" i="12" l="1"/>
  <c r="M10" i="12"/>
  <c r="M11" i="12" s="1"/>
  <c r="M12" i="12" s="1"/>
  <c r="I13" i="12"/>
  <c r="K14" i="12" s="1"/>
  <c r="K13" i="12"/>
  <c r="N3" i="12"/>
  <c r="O3" i="12" s="1"/>
  <c r="N35" i="12" l="1"/>
  <c r="G14" i="12"/>
  <c r="M13" i="12"/>
  <c r="M14" i="12" s="1"/>
  <c r="I14" i="12" l="1"/>
  <c r="K15" i="12" s="1"/>
  <c r="G15" i="12" s="1"/>
  <c r="I15" i="12" s="1"/>
  <c r="K16" i="12" s="1"/>
  <c r="N36" i="12"/>
  <c r="N37" i="12" l="1"/>
  <c r="G16" i="12"/>
  <c r="M15" i="12"/>
  <c r="I16" i="12" l="1"/>
  <c r="K17" i="12" s="1"/>
  <c r="G17" i="12" s="1"/>
  <c r="I17" i="12" s="1"/>
  <c r="K18" i="12" s="1"/>
  <c r="M5" i="12"/>
  <c r="O5" i="12" s="1"/>
  <c r="N38" i="12"/>
  <c r="M16" i="12"/>
  <c r="N39" i="12" l="1"/>
  <c r="M17" i="12"/>
  <c r="N40" i="12" l="1"/>
  <c r="M18" i="12"/>
  <c r="G18" i="12"/>
  <c r="I18" i="12" s="1"/>
  <c r="K19" i="12" s="1"/>
  <c r="N41" i="12" l="1"/>
  <c r="N42" i="12" l="1"/>
  <c r="N43" i="12" l="1"/>
  <c r="G19" i="12"/>
  <c r="I19" i="12" s="1"/>
  <c r="K20" i="12" s="1"/>
  <c r="M19" i="12"/>
  <c r="N44" i="12" l="1"/>
  <c r="N45" i="12" l="1"/>
  <c r="N46" i="12" l="1"/>
  <c r="G20" i="12"/>
  <c r="I20" i="12" s="1"/>
  <c r="K21" i="12" s="1"/>
  <c r="M20" i="12"/>
  <c r="N47" i="12" l="1"/>
  <c r="N48" i="12" l="1"/>
  <c r="N49" i="12" l="1"/>
  <c r="G21" i="12"/>
  <c r="I21" i="12" s="1"/>
  <c r="K22" i="12" s="1"/>
  <c r="M21" i="12"/>
  <c r="N50" i="12" l="1"/>
  <c r="N51" i="12" l="1"/>
  <c r="N52" i="12" l="1"/>
  <c r="G22" i="12"/>
  <c r="I22" i="12" s="1"/>
  <c r="K23" i="12" s="1"/>
  <c r="M22" i="12"/>
  <c r="N53" i="12" l="1"/>
  <c r="N54" i="12" l="1"/>
  <c r="N55" i="12" l="1"/>
  <c r="G23" i="12"/>
  <c r="I23" i="12" s="1"/>
  <c r="K24" i="12" s="1"/>
  <c r="M23" i="12"/>
  <c r="N56" i="12" l="1"/>
  <c r="N57" i="12" l="1"/>
  <c r="N58" i="12" l="1"/>
  <c r="G24" i="12"/>
  <c r="I24" i="12" s="1"/>
  <c r="K25" i="12" s="1"/>
  <c r="M24" i="12"/>
  <c r="N59" i="12" l="1"/>
  <c r="N60" i="12" l="1"/>
  <c r="N61" i="12" l="1"/>
  <c r="G25" i="12"/>
  <c r="I25" i="12" s="1"/>
  <c r="K26" i="12" s="1"/>
  <c r="M25" i="12"/>
  <c r="N62" i="12" l="1"/>
  <c r="N63" i="12" l="1"/>
  <c r="N64" i="12" l="1"/>
  <c r="G26" i="12"/>
  <c r="I26" i="12" s="1"/>
  <c r="K27" i="12" s="1"/>
  <c r="M26" i="12"/>
  <c r="N65" i="12" l="1"/>
  <c r="N66" i="12" l="1"/>
  <c r="N67" i="12" l="1"/>
  <c r="G27" i="12"/>
  <c r="I27" i="12" s="1"/>
  <c r="K28" i="12" s="1"/>
  <c r="M27" i="12"/>
  <c r="N68" i="12" l="1"/>
  <c r="N69" i="12" l="1"/>
  <c r="N70" i="12" l="1"/>
  <c r="G28" i="12"/>
  <c r="I28" i="12" s="1"/>
  <c r="K29" i="12" s="1"/>
  <c r="M28" i="12"/>
  <c r="N71" i="12" l="1"/>
  <c r="N72" i="12" l="1"/>
  <c r="N73" i="12" l="1"/>
  <c r="G29" i="12"/>
  <c r="I29" i="12" s="1"/>
  <c r="K30" i="12" s="1"/>
  <c r="M29" i="12"/>
  <c r="N74" i="12" l="1"/>
  <c r="G30" i="12"/>
  <c r="I30" i="12" s="1"/>
  <c r="K31" i="12" s="1"/>
  <c r="M30" i="12"/>
  <c r="N75" i="12" l="1"/>
  <c r="G31" i="12"/>
  <c r="I31" i="12" s="1"/>
  <c r="K32" i="12" s="1"/>
  <c r="M31" i="12"/>
  <c r="N76" i="12" l="1"/>
  <c r="G32" i="12"/>
  <c r="I32" i="12" s="1"/>
  <c r="K33" i="12" s="1"/>
  <c r="M32" i="12"/>
  <c r="N77" i="12" l="1"/>
  <c r="G33" i="12"/>
  <c r="I33" i="12" s="1"/>
  <c r="K34" i="12" s="1"/>
  <c r="M33" i="12"/>
  <c r="N78" i="12" l="1"/>
  <c r="G34" i="12"/>
  <c r="I34" i="12" s="1"/>
  <c r="K35" i="12" s="1"/>
  <c r="M34" i="12"/>
  <c r="N79" i="12" l="1"/>
  <c r="G35" i="12"/>
  <c r="I35" i="12" s="1"/>
  <c r="K36" i="12" s="1"/>
  <c r="M35" i="12"/>
  <c r="N80" i="12" l="1"/>
  <c r="G36" i="12"/>
  <c r="I36" i="12" s="1"/>
  <c r="K37" i="12" s="1"/>
  <c r="M36" i="12"/>
  <c r="N81" i="12" l="1"/>
  <c r="G37" i="12"/>
  <c r="I37" i="12" s="1"/>
  <c r="K38" i="12" s="1"/>
  <c r="M37" i="12"/>
  <c r="N82" i="12" l="1"/>
  <c r="G38" i="12"/>
  <c r="I38" i="12" s="1"/>
  <c r="K39" i="12" s="1"/>
  <c r="M38" i="12"/>
  <c r="N83" i="12" l="1"/>
  <c r="G39" i="12"/>
  <c r="I39" i="12" s="1"/>
  <c r="K40" i="12" s="1"/>
  <c r="M39" i="12"/>
  <c r="N84" i="12" l="1"/>
  <c r="G40" i="12"/>
  <c r="I40" i="12" s="1"/>
  <c r="K41" i="12" s="1"/>
  <c r="M40" i="12"/>
  <c r="N85" i="12" l="1"/>
  <c r="G41" i="12"/>
  <c r="I41" i="12" s="1"/>
  <c r="K42" i="12" s="1"/>
  <c r="M41" i="12"/>
  <c r="N86" i="12" l="1"/>
  <c r="G42" i="12"/>
  <c r="I42" i="12" s="1"/>
  <c r="K43" i="12" s="1"/>
  <c r="M42" i="12"/>
  <c r="N87" i="12" l="1"/>
  <c r="G43" i="12"/>
  <c r="I43" i="12" s="1"/>
  <c r="K44" i="12" s="1"/>
  <c r="M43" i="12"/>
  <c r="N88" i="12" l="1"/>
  <c r="G44" i="12"/>
  <c r="I44" i="12" s="1"/>
  <c r="K45" i="12" s="1"/>
  <c r="M44" i="12"/>
  <c r="N89" i="12" l="1"/>
  <c r="G45" i="12"/>
  <c r="I45" i="12" s="1"/>
  <c r="K46" i="12" s="1"/>
  <c r="M45" i="12"/>
  <c r="N90" i="12" l="1"/>
  <c r="G46" i="12"/>
  <c r="I46" i="12" s="1"/>
  <c r="K47" i="12" s="1"/>
  <c r="M46" i="12"/>
  <c r="N91" i="12" l="1"/>
  <c r="G47" i="12"/>
  <c r="I47" i="12" s="1"/>
  <c r="K48" i="12" s="1"/>
  <c r="M47" i="12"/>
  <c r="N92" i="12" l="1"/>
  <c r="G48" i="12"/>
  <c r="I48" i="12" s="1"/>
  <c r="K49" i="12" s="1"/>
  <c r="M48" i="12"/>
  <c r="N93" i="12" l="1"/>
  <c r="G49" i="12"/>
  <c r="I49" i="12" s="1"/>
  <c r="K50" i="12" s="1"/>
  <c r="M49" i="12"/>
  <c r="N94" i="12" l="1"/>
  <c r="G50" i="12"/>
  <c r="I50" i="12" s="1"/>
  <c r="K51" i="12" s="1"/>
  <c r="M50" i="12"/>
  <c r="N95" i="12" l="1"/>
  <c r="G51" i="12"/>
  <c r="I51" i="12" s="1"/>
  <c r="K52" i="12" s="1"/>
  <c r="M51" i="12"/>
  <c r="N96" i="12" l="1"/>
  <c r="G52" i="12"/>
  <c r="I52" i="12" s="1"/>
  <c r="K53" i="12" s="1"/>
  <c r="M52" i="12"/>
  <c r="N97" i="12" l="1"/>
  <c r="G53" i="12"/>
  <c r="I53" i="12" s="1"/>
  <c r="K54" i="12" s="1"/>
  <c r="M53" i="12"/>
  <c r="N98" i="12" l="1"/>
  <c r="G54" i="12"/>
  <c r="I54" i="12" s="1"/>
  <c r="K55" i="12" s="1"/>
  <c r="M54" i="12"/>
  <c r="N99" i="12" l="1"/>
  <c r="G55" i="12"/>
  <c r="I55" i="12" s="1"/>
  <c r="K56" i="12" s="1"/>
  <c r="M55" i="12"/>
  <c r="N100" i="12" l="1"/>
  <c r="G56" i="12"/>
  <c r="I56" i="12" s="1"/>
  <c r="K57" i="12" s="1"/>
  <c r="M56" i="12"/>
  <c r="N101" i="12" l="1"/>
  <c r="G57" i="12"/>
  <c r="I57" i="12" s="1"/>
  <c r="K58" i="12" s="1"/>
  <c r="M57" i="12"/>
  <c r="N102" i="12" l="1"/>
  <c r="G58" i="12"/>
  <c r="I58" i="12" s="1"/>
  <c r="K59" i="12" s="1"/>
  <c r="M58" i="12"/>
  <c r="N103" i="12" l="1"/>
  <c r="G59" i="12"/>
  <c r="I59" i="12" s="1"/>
  <c r="K60" i="12" s="1"/>
  <c r="M59" i="12"/>
  <c r="N104" i="12" l="1"/>
  <c r="G60" i="12"/>
  <c r="I60" i="12" s="1"/>
  <c r="K61" i="12" s="1"/>
  <c r="M60" i="12"/>
  <c r="N105" i="12" l="1"/>
  <c r="G61" i="12"/>
  <c r="I61" i="12" s="1"/>
  <c r="K62" i="12" s="1"/>
  <c r="M61" i="12"/>
  <c r="N106" i="12" l="1"/>
  <c r="G62" i="12"/>
  <c r="I62" i="12" s="1"/>
  <c r="K63" i="12" s="1"/>
  <c r="M62" i="12"/>
  <c r="N107" i="12" l="1"/>
  <c r="G63" i="12"/>
  <c r="I63" i="12" s="1"/>
  <c r="K64" i="12" s="1"/>
  <c r="M63" i="12"/>
  <c r="N108" i="12" l="1"/>
  <c r="G64" i="12"/>
  <c r="I64" i="12" s="1"/>
  <c r="K65" i="12" s="1"/>
  <c r="M64" i="12"/>
  <c r="N109" i="12" l="1"/>
  <c r="G65" i="12"/>
  <c r="I65" i="12" s="1"/>
  <c r="K66" i="12" s="1"/>
  <c r="M65" i="12"/>
  <c r="N110" i="12" l="1"/>
  <c r="G66" i="12"/>
  <c r="I66" i="12" s="1"/>
  <c r="K67" i="12" s="1"/>
  <c r="M66" i="12"/>
  <c r="N111" i="12" l="1"/>
  <c r="G67" i="12"/>
  <c r="I67" i="12" s="1"/>
  <c r="K68" i="12" s="1"/>
  <c r="M67" i="12"/>
  <c r="N112" i="12" l="1"/>
  <c r="G68" i="12"/>
  <c r="I68" i="12" s="1"/>
  <c r="K69" i="12" s="1"/>
  <c r="M68" i="12"/>
  <c r="N113" i="12" l="1"/>
  <c r="G69" i="12"/>
  <c r="I69" i="12" s="1"/>
  <c r="K70" i="12" s="1"/>
  <c r="M69" i="12"/>
  <c r="N114" i="12" l="1"/>
  <c r="G70" i="12"/>
  <c r="I70" i="12" s="1"/>
  <c r="K71" i="12" s="1"/>
  <c r="M70" i="12"/>
  <c r="N115" i="12" l="1"/>
  <c r="G71" i="12"/>
  <c r="I71" i="12" s="1"/>
  <c r="K72" i="12" s="1"/>
  <c r="M71" i="12"/>
  <c r="N116" i="12" l="1"/>
  <c r="G72" i="12"/>
  <c r="I72" i="12" s="1"/>
  <c r="K73" i="12" s="1"/>
  <c r="M72" i="12"/>
  <c r="N117" i="12" l="1"/>
  <c r="G73" i="12"/>
  <c r="I73" i="12" s="1"/>
  <c r="K74" i="12" s="1"/>
  <c r="M73" i="12"/>
  <c r="N118" i="12" l="1"/>
  <c r="G74" i="12"/>
  <c r="I74" i="12" s="1"/>
  <c r="K75" i="12" s="1"/>
  <c r="M74" i="12"/>
  <c r="N119" i="12" l="1"/>
  <c r="G75" i="12"/>
  <c r="I75" i="12" s="1"/>
  <c r="K76" i="12" s="1"/>
  <c r="M75" i="12"/>
  <c r="N120" i="12" l="1"/>
  <c r="G76" i="12"/>
  <c r="I76" i="12" s="1"/>
  <c r="K77" i="12" s="1"/>
  <c r="M76" i="12"/>
  <c r="N121" i="12" l="1"/>
  <c r="G77" i="12"/>
  <c r="I77" i="12" s="1"/>
  <c r="K78" i="12" s="1"/>
  <c r="M77" i="12"/>
  <c r="N122" i="12" l="1"/>
  <c r="G78" i="12"/>
  <c r="I78" i="12" s="1"/>
  <c r="K79" i="12" s="1"/>
  <c r="M78" i="12"/>
  <c r="N123" i="12" l="1"/>
  <c r="G79" i="12"/>
  <c r="I79" i="12" s="1"/>
  <c r="K80" i="12" s="1"/>
  <c r="M79" i="12"/>
  <c r="N124" i="12" l="1"/>
  <c r="G80" i="12"/>
  <c r="I80" i="12" s="1"/>
  <c r="K81" i="12" s="1"/>
  <c r="M80" i="12"/>
  <c r="N125" i="12" l="1"/>
  <c r="G81" i="12"/>
  <c r="I81" i="12" s="1"/>
  <c r="K82" i="12" s="1"/>
  <c r="M81" i="12"/>
  <c r="N126" i="12" l="1"/>
  <c r="G82" i="12"/>
  <c r="I82" i="12" s="1"/>
  <c r="K83" i="12" s="1"/>
  <c r="M82" i="12"/>
  <c r="N127" i="12" l="1"/>
  <c r="G83" i="12"/>
  <c r="I83" i="12" s="1"/>
  <c r="K84" i="12" s="1"/>
  <c r="M83" i="12"/>
  <c r="N128" i="12" l="1"/>
  <c r="G84" i="12"/>
  <c r="I84" i="12" s="1"/>
  <c r="K85" i="12" s="1"/>
  <c r="M84" i="12"/>
  <c r="N129" i="12" l="1"/>
  <c r="G85" i="12"/>
  <c r="I85" i="12" s="1"/>
  <c r="K86" i="12" s="1"/>
  <c r="M85" i="12"/>
  <c r="N130" i="12" l="1"/>
  <c r="G86" i="12"/>
  <c r="I86" i="12" s="1"/>
  <c r="K87" i="12" s="1"/>
  <c r="M86" i="12"/>
  <c r="N131" i="12" l="1"/>
  <c r="G87" i="12"/>
  <c r="I87" i="12" s="1"/>
  <c r="K88" i="12" s="1"/>
  <c r="M87" i="12"/>
  <c r="N132" i="12" l="1"/>
  <c r="G88" i="12"/>
  <c r="I88" i="12" s="1"/>
  <c r="K89" i="12" s="1"/>
  <c r="M88" i="12"/>
  <c r="N133" i="12" l="1"/>
  <c r="G89" i="12"/>
  <c r="I89" i="12" s="1"/>
  <c r="K90" i="12" s="1"/>
  <c r="M89" i="12"/>
  <c r="N134" i="12" l="1"/>
  <c r="G90" i="12"/>
  <c r="I90" i="12" s="1"/>
  <c r="K91" i="12" s="1"/>
  <c r="M90" i="12"/>
  <c r="N135" i="12" l="1"/>
  <c r="G91" i="12"/>
  <c r="I91" i="12" s="1"/>
  <c r="K92" i="12" s="1"/>
  <c r="M91" i="12"/>
  <c r="N136" i="12" l="1"/>
  <c r="G92" i="12"/>
  <c r="I92" i="12" s="1"/>
  <c r="K93" i="12" s="1"/>
  <c r="M92" i="12"/>
  <c r="N137" i="12" l="1"/>
  <c r="G93" i="12"/>
  <c r="I93" i="12" s="1"/>
  <c r="K94" i="12" s="1"/>
  <c r="M93" i="12"/>
  <c r="N138" i="12" l="1"/>
  <c r="G94" i="12"/>
  <c r="I94" i="12" s="1"/>
  <c r="K95" i="12" s="1"/>
  <c r="M94" i="12"/>
  <c r="N139" i="12" l="1"/>
  <c r="G95" i="12"/>
  <c r="I95" i="12" s="1"/>
  <c r="K96" i="12" s="1"/>
  <c r="M95" i="12"/>
  <c r="N140" i="12" l="1"/>
  <c r="G96" i="12"/>
  <c r="I96" i="12" s="1"/>
  <c r="K97" i="12" s="1"/>
  <c r="M96" i="12"/>
  <c r="N141" i="12" l="1"/>
  <c r="G97" i="12"/>
  <c r="I97" i="12" s="1"/>
  <c r="K98" i="12" s="1"/>
  <c r="M97" i="12"/>
  <c r="N142" i="12" l="1"/>
  <c r="G98" i="12"/>
  <c r="I98" i="12" s="1"/>
  <c r="K99" i="12" s="1"/>
  <c r="M98" i="12"/>
  <c r="N143" i="12" l="1"/>
  <c r="G99" i="12"/>
  <c r="I99" i="12" s="1"/>
  <c r="K100" i="12" s="1"/>
  <c r="M99" i="12"/>
  <c r="N144" i="12" l="1"/>
  <c r="G100" i="12"/>
  <c r="I100" i="12" s="1"/>
  <c r="K101" i="12" s="1"/>
  <c r="M100" i="12"/>
  <c r="N145" i="12" l="1"/>
  <c r="G101" i="12"/>
  <c r="I101" i="12" s="1"/>
  <c r="K102" i="12" s="1"/>
  <c r="M101" i="12"/>
  <c r="N146" i="12" l="1"/>
  <c r="G102" i="12"/>
  <c r="I102" i="12" s="1"/>
  <c r="K103" i="12" s="1"/>
  <c r="M102" i="12"/>
  <c r="N147" i="12" l="1"/>
  <c r="G103" i="12"/>
  <c r="I103" i="12" s="1"/>
  <c r="K104" i="12" s="1"/>
  <c r="M103" i="12"/>
  <c r="N148" i="12" l="1"/>
  <c r="G104" i="12"/>
  <c r="I104" i="12" s="1"/>
  <c r="K105" i="12" s="1"/>
  <c r="M104" i="12"/>
  <c r="N149" i="12" l="1"/>
  <c r="G105" i="12"/>
  <c r="I105" i="12" s="1"/>
  <c r="K106" i="12" s="1"/>
  <c r="M105" i="12"/>
  <c r="N150" i="12" l="1"/>
  <c r="G106" i="12"/>
  <c r="I106" i="12" s="1"/>
  <c r="K107" i="12" s="1"/>
  <c r="M106" i="12"/>
  <c r="N151" i="12" l="1"/>
  <c r="G107" i="12"/>
  <c r="I107" i="12" s="1"/>
  <c r="K108" i="12" s="1"/>
  <c r="M107" i="12"/>
  <c r="N152" i="12" l="1"/>
  <c r="G108" i="12"/>
  <c r="I108" i="12" s="1"/>
  <c r="K109" i="12" s="1"/>
  <c r="M108" i="12"/>
  <c r="N153" i="12" l="1"/>
  <c r="G109" i="12"/>
  <c r="I109" i="12" s="1"/>
  <c r="K110" i="12" s="1"/>
  <c r="M109" i="12"/>
  <c r="N154" i="12" l="1"/>
  <c r="G110" i="12"/>
  <c r="I110" i="12" s="1"/>
  <c r="K111" i="12" s="1"/>
  <c r="M110" i="12"/>
  <c r="N155" i="12" l="1"/>
  <c r="G111" i="12"/>
  <c r="I111" i="12" s="1"/>
  <c r="K112" i="12" s="1"/>
  <c r="M111" i="12"/>
  <c r="N156" i="12" l="1"/>
  <c r="G112" i="12"/>
  <c r="I112" i="12" s="1"/>
  <c r="K113" i="12" s="1"/>
  <c r="M112" i="12"/>
  <c r="N157" i="12" l="1"/>
  <c r="G113" i="12"/>
  <c r="I113" i="12" s="1"/>
  <c r="K114" i="12" s="1"/>
  <c r="M113" i="12"/>
  <c r="N158" i="12" l="1"/>
  <c r="G114" i="12"/>
  <c r="I114" i="12" s="1"/>
  <c r="K115" i="12" s="1"/>
  <c r="M114" i="12"/>
  <c r="N159" i="12" l="1"/>
  <c r="G115" i="12"/>
  <c r="I115" i="12" s="1"/>
  <c r="K116" i="12" s="1"/>
  <c r="M115" i="12"/>
  <c r="N160" i="12" l="1"/>
  <c r="G116" i="12"/>
  <c r="I116" i="12" s="1"/>
  <c r="K117" i="12" s="1"/>
  <c r="M116" i="12"/>
  <c r="N161" i="12" l="1"/>
  <c r="G117" i="12"/>
  <c r="I117" i="12" s="1"/>
  <c r="K118" i="12" s="1"/>
  <c r="M117" i="12"/>
  <c r="N162" i="12" l="1"/>
  <c r="G118" i="12"/>
  <c r="I118" i="12" s="1"/>
  <c r="K119" i="12" s="1"/>
  <c r="M118" i="12"/>
  <c r="N163" i="12" l="1"/>
  <c r="G119" i="12"/>
  <c r="I119" i="12" s="1"/>
  <c r="K120" i="12" s="1"/>
  <c r="M119" i="12"/>
  <c r="N164" i="12" l="1"/>
  <c r="G120" i="12"/>
  <c r="I120" i="12" s="1"/>
  <c r="K121" i="12" s="1"/>
  <c r="M120" i="12"/>
  <c r="N165" i="12" l="1"/>
  <c r="G121" i="12"/>
  <c r="I121" i="12" s="1"/>
  <c r="K122" i="12" s="1"/>
  <c r="M121" i="12"/>
  <c r="N166" i="12" l="1"/>
  <c r="G122" i="12"/>
  <c r="I122" i="12" s="1"/>
  <c r="K123" i="12" s="1"/>
  <c r="M122" i="12"/>
  <c r="N167" i="12" l="1"/>
  <c r="G123" i="12"/>
  <c r="I123" i="12" s="1"/>
  <c r="K124" i="12" s="1"/>
  <c r="M123" i="12"/>
  <c r="N168" i="12" l="1"/>
  <c r="G124" i="12"/>
  <c r="I124" i="12" s="1"/>
  <c r="K125" i="12" s="1"/>
  <c r="M124" i="12"/>
  <c r="N169" i="12" l="1"/>
  <c r="G125" i="12"/>
  <c r="I125" i="12" s="1"/>
  <c r="K126" i="12" s="1"/>
  <c r="M125" i="12"/>
  <c r="N170" i="12" l="1"/>
  <c r="G126" i="12"/>
  <c r="I126" i="12" s="1"/>
  <c r="K127" i="12" s="1"/>
  <c r="M126" i="12"/>
  <c r="N171" i="12" l="1"/>
  <c r="G127" i="12"/>
  <c r="I127" i="12" s="1"/>
  <c r="K128" i="12" s="1"/>
  <c r="M127" i="12"/>
  <c r="N172" i="12" l="1"/>
  <c r="G128" i="12"/>
  <c r="I128" i="12" s="1"/>
  <c r="K129" i="12" s="1"/>
  <c r="M128" i="12"/>
  <c r="N173" i="12" l="1"/>
  <c r="G129" i="12"/>
  <c r="I129" i="12" s="1"/>
  <c r="K130" i="12" s="1"/>
  <c r="M129" i="12"/>
  <c r="N174" i="12" l="1"/>
  <c r="G130" i="12"/>
  <c r="I130" i="12" s="1"/>
  <c r="K131" i="12" s="1"/>
  <c r="M130" i="12"/>
  <c r="N175" i="12" l="1"/>
  <c r="G131" i="12"/>
  <c r="I131" i="12" s="1"/>
  <c r="K132" i="12" s="1"/>
  <c r="M131" i="12"/>
  <c r="N176" i="12" l="1"/>
  <c r="G132" i="12"/>
  <c r="I132" i="12" s="1"/>
  <c r="K133" i="12" s="1"/>
  <c r="M132" i="12"/>
  <c r="N177" i="12" l="1"/>
  <c r="G133" i="12"/>
  <c r="I133" i="12" s="1"/>
  <c r="K134" i="12" s="1"/>
  <c r="M133" i="12"/>
  <c r="N178" i="12" l="1"/>
  <c r="G134" i="12"/>
  <c r="I134" i="12" s="1"/>
  <c r="K135" i="12" s="1"/>
  <c r="M134" i="12"/>
  <c r="N179" i="12" l="1"/>
  <c r="G135" i="12"/>
  <c r="I135" i="12" s="1"/>
  <c r="K136" i="12" s="1"/>
  <c r="M135" i="12"/>
  <c r="N180" i="12" l="1"/>
  <c r="G136" i="12"/>
  <c r="I136" i="12" s="1"/>
  <c r="K137" i="12" s="1"/>
  <c r="M136" i="12"/>
  <c r="N181" i="12" l="1"/>
  <c r="G137" i="12"/>
  <c r="I137" i="12" s="1"/>
  <c r="K138" i="12" s="1"/>
  <c r="M137" i="12"/>
  <c r="N182" i="12" l="1"/>
  <c r="G138" i="12"/>
  <c r="I138" i="12" s="1"/>
  <c r="K139" i="12" s="1"/>
  <c r="M138" i="12"/>
  <c r="N183" i="12" l="1"/>
  <c r="G139" i="12"/>
  <c r="I139" i="12" s="1"/>
  <c r="K140" i="12" s="1"/>
  <c r="M139" i="12"/>
  <c r="N184" i="12" l="1"/>
  <c r="G140" i="12"/>
  <c r="I140" i="12" s="1"/>
  <c r="K141" i="12" s="1"/>
  <c r="M140" i="12"/>
  <c r="N185" i="12" l="1"/>
  <c r="G141" i="12"/>
  <c r="I141" i="12" s="1"/>
  <c r="K142" i="12" s="1"/>
  <c r="M141" i="12"/>
  <c r="N186" i="12" l="1"/>
  <c r="G142" i="12"/>
  <c r="I142" i="12" s="1"/>
  <c r="K143" i="12" s="1"/>
  <c r="M142" i="12"/>
  <c r="G143" i="12" l="1"/>
  <c r="I143" i="12" s="1"/>
  <c r="K144" i="12" s="1"/>
  <c r="M143" i="12"/>
  <c r="G144" i="12" l="1"/>
  <c r="I144" i="12" s="1"/>
  <c r="K145" i="12" s="1"/>
  <c r="M144" i="12"/>
  <c r="G145" i="12" l="1"/>
  <c r="I145" i="12" s="1"/>
  <c r="K146" i="12" s="1"/>
  <c r="M145" i="12"/>
  <c r="G146" i="12" l="1"/>
  <c r="I146" i="12" s="1"/>
  <c r="K147" i="12" s="1"/>
  <c r="M146" i="12"/>
  <c r="G147" i="12" l="1"/>
  <c r="I147" i="12" s="1"/>
  <c r="K148" i="12" s="1"/>
  <c r="M147" i="12"/>
  <c r="G148" i="12" l="1"/>
  <c r="I148" i="12" s="1"/>
  <c r="K149" i="12" s="1"/>
  <c r="M148" i="12"/>
  <c r="G149" i="12" l="1"/>
  <c r="I149" i="12" s="1"/>
  <c r="K150" i="12" s="1"/>
  <c r="M149" i="12"/>
  <c r="G150" i="12" l="1"/>
  <c r="I150" i="12" s="1"/>
  <c r="K151" i="12" s="1"/>
  <c r="M150" i="12"/>
  <c r="G151" i="12" l="1"/>
  <c r="I151" i="12" s="1"/>
  <c r="K152" i="12" s="1"/>
  <c r="M151" i="12"/>
  <c r="G152" i="12" l="1"/>
  <c r="I152" i="12" s="1"/>
  <c r="K153" i="12" s="1"/>
  <c r="M152" i="12"/>
  <c r="G153" i="12" l="1"/>
  <c r="I153" i="12" s="1"/>
  <c r="K154" i="12" s="1"/>
  <c r="M153" i="12"/>
  <c r="G154" i="12" l="1"/>
  <c r="I154" i="12" s="1"/>
  <c r="K155" i="12" s="1"/>
  <c r="M154" i="12"/>
  <c r="G155" i="12" l="1"/>
  <c r="I155" i="12" s="1"/>
  <c r="K156" i="12" s="1"/>
  <c r="M155" i="12"/>
  <c r="G156" i="12" l="1"/>
  <c r="I156" i="12" s="1"/>
  <c r="K157" i="12" s="1"/>
  <c r="M156" i="12"/>
  <c r="G157" i="12" l="1"/>
  <c r="I157" i="12" s="1"/>
  <c r="K158" i="12" s="1"/>
  <c r="M157" i="12"/>
  <c r="G158" i="12" l="1"/>
  <c r="I158" i="12" s="1"/>
  <c r="K159" i="12" s="1"/>
  <c r="M158" i="12"/>
  <c r="G159" i="12" l="1"/>
  <c r="I159" i="12" s="1"/>
  <c r="K160" i="12" s="1"/>
  <c r="M159" i="12"/>
  <c r="G160" i="12" l="1"/>
  <c r="I160" i="12" s="1"/>
  <c r="K161" i="12" s="1"/>
  <c r="M160" i="12"/>
  <c r="G161" i="12" l="1"/>
  <c r="I161" i="12" s="1"/>
  <c r="K162" i="12" s="1"/>
  <c r="M161" i="12"/>
  <c r="G162" i="12" l="1"/>
  <c r="I162" i="12" s="1"/>
  <c r="K163" i="12" s="1"/>
  <c r="M162" i="12"/>
  <c r="G163" i="12" l="1"/>
  <c r="I163" i="12" s="1"/>
  <c r="K164" i="12" s="1"/>
  <c r="M163" i="12"/>
  <c r="G164" i="12" l="1"/>
  <c r="I164" i="12" s="1"/>
  <c r="K165" i="12" s="1"/>
  <c r="M164" i="12"/>
  <c r="G165" i="12" l="1"/>
  <c r="I165" i="12" s="1"/>
  <c r="K166" i="12" s="1"/>
  <c r="M165" i="12"/>
  <c r="G166" i="12" l="1"/>
  <c r="I166" i="12" s="1"/>
  <c r="K167" i="12" s="1"/>
  <c r="M166" i="12"/>
  <c r="G167" i="12" l="1"/>
  <c r="I167" i="12" s="1"/>
  <c r="K168" i="12" s="1"/>
  <c r="M167" i="12"/>
  <c r="G168" i="12" l="1"/>
  <c r="I168" i="12" s="1"/>
  <c r="K169" i="12" s="1"/>
  <c r="M168" i="12"/>
  <c r="G169" i="12" l="1"/>
  <c r="I169" i="12" s="1"/>
  <c r="K170" i="12" s="1"/>
  <c r="M169" i="12"/>
  <c r="G170" i="12" l="1"/>
  <c r="I170" i="12" s="1"/>
  <c r="K171" i="12" s="1"/>
  <c r="M170" i="12"/>
  <c r="G171" i="12" l="1"/>
  <c r="I171" i="12" s="1"/>
  <c r="K172" i="12" s="1"/>
  <c r="M171" i="12"/>
  <c r="G172" i="12" l="1"/>
  <c r="I172" i="12" s="1"/>
  <c r="K173" i="12" s="1"/>
  <c r="M172" i="12"/>
  <c r="G173" i="12" l="1"/>
  <c r="I173" i="12" s="1"/>
  <c r="K174" i="12" s="1"/>
  <c r="M173" i="12"/>
  <c r="G174" i="12" l="1"/>
  <c r="I174" i="12" s="1"/>
  <c r="K175" i="12" s="1"/>
  <c r="M174" i="12"/>
  <c r="G175" i="12" l="1"/>
  <c r="I175" i="12" s="1"/>
  <c r="K176" i="12" s="1"/>
  <c r="M175" i="12"/>
  <c r="G176" i="12" l="1"/>
  <c r="I176" i="12" s="1"/>
  <c r="K177" i="12" s="1"/>
  <c r="M176" i="12"/>
  <c r="G177" i="12" l="1"/>
  <c r="I177" i="12" s="1"/>
  <c r="K178" i="12" s="1"/>
  <c r="M177" i="12"/>
  <c r="G178" i="12" l="1"/>
  <c r="I178" i="12" s="1"/>
  <c r="K179" i="12" s="1"/>
  <c r="M178" i="12"/>
  <c r="G179" i="12" l="1"/>
  <c r="I179" i="12" s="1"/>
  <c r="K180" i="12" s="1"/>
  <c r="M179" i="12"/>
  <c r="G180" i="12" l="1"/>
  <c r="I180" i="12" s="1"/>
  <c r="K181" i="12" s="1"/>
  <c r="M180" i="12"/>
  <c r="G181" i="12" l="1"/>
  <c r="I181" i="12" s="1"/>
  <c r="K182" i="12" s="1"/>
  <c r="M181" i="12"/>
  <c r="G182" i="12" l="1"/>
  <c r="I182" i="12" s="1"/>
  <c r="K183" i="12" s="1"/>
  <c r="M182" i="12"/>
  <c r="G183" i="12" l="1"/>
  <c r="I183" i="12" s="1"/>
  <c r="K184" i="12" s="1"/>
  <c r="M183" i="12"/>
  <c r="G184" i="12" l="1"/>
  <c r="I184" i="12" s="1"/>
  <c r="K185" i="12" s="1"/>
  <c r="M184" i="12"/>
  <c r="G185" i="12" l="1"/>
  <c r="I185" i="12" s="1"/>
  <c r="K186" i="12" s="1"/>
  <c r="M4" i="12" s="1"/>
  <c r="O4" i="12" s="1"/>
  <c r="M185" i="12"/>
  <c r="G186" i="12" l="1"/>
  <c r="I186" i="12" s="1"/>
  <c r="M186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9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5"/>
        </ext>
      </extLst>
    </bk>
  </futureMetadata>
  <cellMetadata count="1">
    <bk>
      <rc t="1" v="0"/>
    </bk>
  </cellMetadata>
  <valueMetadata count="1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</valueMetadata>
</metadata>
</file>

<file path=xl/sharedStrings.xml><?xml version="1.0" encoding="utf-8"?>
<sst xmlns="http://schemas.openxmlformats.org/spreadsheetml/2006/main" count="2317" uniqueCount="162">
  <si>
    <t>MÊS</t>
  </si>
  <si>
    <t>%</t>
  </si>
  <si>
    <t>ANO</t>
  </si>
  <si>
    <t>DESCRIÇÃO</t>
  </si>
  <si>
    <t>DATA</t>
  </si>
  <si>
    <t>FIIs</t>
  </si>
  <si>
    <t>SIM</t>
  </si>
  <si>
    <t>MXRF11</t>
  </si>
  <si>
    <t>KNSC11</t>
  </si>
  <si>
    <t>GARE11</t>
  </si>
  <si>
    <t>Ações</t>
  </si>
  <si>
    <t>BBAS3</t>
  </si>
  <si>
    <t>ITSA3</t>
  </si>
  <si>
    <t>MOEDA</t>
  </si>
  <si>
    <t>ATIVO</t>
  </si>
  <si>
    <t>QUANTIDADE</t>
  </si>
  <si>
    <t>PREÇO</t>
  </si>
  <si>
    <t>CORRETORA/BANCO</t>
  </si>
  <si>
    <t>FEITO?</t>
  </si>
  <si>
    <t>PREÇO MERCADO</t>
  </si>
  <si>
    <t>VALOR TOTAL MERCADO</t>
  </si>
  <si>
    <t>VALORIZAÇÃO (%)</t>
  </si>
  <si>
    <t>BBSE3</t>
  </si>
  <si>
    <t>EQTL3</t>
  </si>
  <si>
    <t>SAPR4</t>
  </si>
  <si>
    <t>SBSP3</t>
  </si>
  <si>
    <t>Abreviatura do câmbio</t>
  </si>
  <si>
    <t>Preço</t>
  </si>
  <si>
    <t>Bolsa</t>
  </si>
  <si>
    <t>Símbolo do ticker</t>
  </si>
  <si>
    <t>Hora da última transação</t>
  </si>
  <si>
    <t>Variação</t>
  </si>
  <si>
    <t>Variação (%)</t>
  </si>
  <si>
    <t>Moeda</t>
  </si>
  <si>
    <t>Conversão MOEDA</t>
  </si>
  <si>
    <t>Preço Dolar</t>
  </si>
  <si>
    <t>Da moeda</t>
  </si>
  <si>
    <t>Moeda2</t>
  </si>
  <si>
    <t>Total Geral</t>
  </si>
  <si>
    <t>Aporte</t>
  </si>
  <si>
    <t>Previsto</t>
  </si>
  <si>
    <t>% Rendimento Médio</t>
  </si>
  <si>
    <t>Meses</t>
  </si>
  <si>
    <t>PREVISTO
Investimento Acumulado</t>
  </si>
  <si>
    <t>REALIZADO
Investimento Acumulado</t>
  </si>
  <si>
    <t xml:space="preserve">PREVISTO
Investimento
</t>
  </si>
  <si>
    <t xml:space="preserve">REALIZADO
Investimento
</t>
  </si>
  <si>
    <t xml:space="preserve">PREVISTO
Juros Acumulado
</t>
  </si>
  <si>
    <t xml:space="preserve">REALIZADO
Juros Acumulado
</t>
  </si>
  <si>
    <t>Diferença</t>
  </si>
  <si>
    <t>Realizado</t>
  </si>
  <si>
    <t>STATUS</t>
  </si>
  <si>
    <t xml:space="preserve">PREVISTO
Juros
</t>
  </si>
  <si>
    <t xml:space="preserve">REALIZADO
Juros 
</t>
  </si>
  <si>
    <t>REALIZADO
% Rendimento</t>
  </si>
  <si>
    <t>Juros Total</t>
  </si>
  <si>
    <t>Investimento Total</t>
  </si>
  <si>
    <t>Ganho/Perda Capital</t>
  </si>
  <si>
    <t>Investimentos BB</t>
  </si>
  <si>
    <t>Mês</t>
  </si>
  <si>
    <t>Ano</t>
  </si>
  <si>
    <t>Dia</t>
  </si>
  <si>
    <t>TIPO MOVIMENTAÇÃO</t>
  </si>
  <si>
    <t>VALOR 
TOTAL</t>
  </si>
  <si>
    <t>SUM</t>
  </si>
  <si>
    <t>AVERAGE</t>
  </si>
  <si>
    <t>COTAS</t>
  </si>
  <si>
    <t xml:space="preserve"> PREÇO MERCADO</t>
  </si>
  <si>
    <t>PREÇO NEGOCIADO</t>
  </si>
  <si>
    <t>#</t>
  </si>
  <si>
    <t>R$</t>
  </si>
  <si>
    <t>VALORIZAÇÂO</t>
  </si>
  <si>
    <t>Entradas</t>
  </si>
  <si>
    <t>Salário</t>
  </si>
  <si>
    <t>Bolsa Iniciação Científica</t>
  </si>
  <si>
    <t>Fatec-SP</t>
  </si>
  <si>
    <t>LoyaltyCom</t>
  </si>
  <si>
    <t>Saídas</t>
  </si>
  <si>
    <t>Vivo</t>
  </si>
  <si>
    <t>Enel</t>
  </si>
  <si>
    <t>Sabesp</t>
  </si>
  <si>
    <t>Cuidadora</t>
  </si>
  <si>
    <t>Tia Mônica</t>
  </si>
  <si>
    <t>Moradia</t>
  </si>
  <si>
    <t>Aluguel</t>
  </si>
  <si>
    <t>Cia Manah</t>
  </si>
  <si>
    <t>Mercado Livre</t>
  </si>
  <si>
    <t>Contabilizei</t>
  </si>
  <si>
    <t>Caixa Econômica Federal</t>
  </si>
  <si>
    <t>Youtube</t>
  </si>
  <si>
    <t>Youtube Music</t>
  </si>
  <si>
    <t>Evolução de obras</t>
  </si>
  <si>
    <t>Construtora Nortis</t>
  </si>
  <si>
    <t>Entrada AP</t>
  </si>
  <si>
    <t>DAS/DARF</t>
  </si>
  <si>
    <t>Impostos</t>
  </si>
  <si>
    <t>Empréstimo Francisca 3/3</t>
  </si>
  <si>
    <t>Emprestimo Linik 3/4</t>
  </si>
  <si>
    <t>Empréstimo</t>
  </si>
  <si>
    <t>Agua</t>
  </si>
  <si>
    <t>Energia</t>
  </si>
  <si>
    <t>Fibra</t>
  </si>
  <si>
    <t>Movel</t>
  </si>
  <si>
    <t>Emprestimo 1/3</t>
  </si>
  <si>
    <t>Ballet e Ginastica</t>
  </si>
  <si>
    <t>NÃO</t>
  </si>
  <si>
    <t>Cartão de Crédito</t>
  </si>
  <si>
    <t>Banco do Brasil</t>
  </si>
  <si>
    <t>Rótulos de Linha</t>
  </si>
  <si>
    <t>nov</t>
  </si>
  <si>
    <t>dez</t>
  </si>
  <si>
    <t>Rótulos de Coluna</t>
  </si>
  <si>
    <t>Soma de VALOR 
TOTAL</t>
  </si>
  <si>
    <t>jan</t>
  </si>
  <si>
    <t>Pascoal</t>
  </si>
  <si>
    <t>Capital de Giro</t>
  </si>
  <si>
    <t>Emprestimo 2/3</t>
  </si>
  <si>
    <t>Emprestimo Linik 4/4</t>
  </si>
  <si>
    <t>Compra de produtos</t>
  </si>
  <si>
    <t>Resultado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</si>
  <si>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</si>
  <si>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</si>
  <si>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</si>
  <si>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</si>
  <si>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</si>
  <si>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</si>
  <si>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</si>
  <si>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</si>
  <si>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</si>
  <si>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Emprestimo 3/3</t>
  </si>
  <si>
    <t>Condominio</t>
  </si>
  <si>
    <t>Financiamento</t>
  </si>
  <si>
    <t>VARIAÇÃO (%)</t>
  </si>
  <si>
    <t xml:space="preserve"> VARIAÇÃO REAL</t>
  </si>
  <si>
    <t>XPLG11</t>
  </si>
  <si>
    <t>HGLG11</t>
  </si>
  <si>
    <t>KNRI11</t>
  </si>
  <si>
    <t>BTLG11</t>
  </si>
  <si>
    <t>XPML11</t>
  </si>
  <si>
    <t>KNCA11</t>
  </si>
  <si>
    <t>KNCR11</t>
  </si>
  <si>
    <t>GANHO/PERDA</t>
  </si>
  <si>
    <t>Campo calculado</t>
  </si>
  <si>
    <t>Ordem de resolução</t>
  </si>
  <si>
    <t>Campo</t>
  </si>
  <si>
    <t>Fórmula</t>
  </si>
  <si>
    <t>Campo1</t>
  </si>
  <si>
    <t>= ('VALOR TOTAL MERCADO'-'VALOR 
TOTAL')/'VALOR 
TOTAL'</t>
  </si>
  <si>
    <t>Campo2</t>
  </si>
  <si>
    <t>='VALOR TOTAL MERCADO' -'VALOR 
TOTAL'</t>
  </si>
  <si>
    <t>Item calculado</t>
  </si>
  <si>
    <t>Item</t>
  </si>
  <si>
    <t>Observação:</t>
  </si>
  <si>
    <t>Quando uma célula é atualizada por mais de uma fórmula,</t>
  </si>
  <si>
    <t>o valor é definido pela fórmula com a última ordem de resolução.</t>
  </si>
  <si>
    <t>Para alterar a ordem de resolução de vários itens ou campos calculados,</t>
  </si>
  <si>
    <t>na guia Opções, no grupo Cálculos, clique em Campos, Itens e Conjuntos e clique em Ordem de Resolução.</t>
  </si>
  <si>
    <t>PREÇO MÉDIO PONDERADO</t>
  </si>
  <si>
    <t>VALOR TOTAL PONDERADO</t>
  </si>
  <si>
    <t>TOTAL NEGOCIADO</t>
  </si>
  <si>
    <t>TOTAL MERCADO</t>
  </si>
  <si>
    <t xml:space="preserve"> GANHO/
PERDA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</si>
</sst>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[$R$-416]\ * #,##0.00_-;\-[$R$-416]\ * #,##0.00_-;_-[$R$-416]\ * &quot;-&quot;??_-;_-@_-"/>
    <numFmt numFmtId="166" formatCode="#,##0.00_ ;\-#,##0.00\ "/>
  </numFmts>
  <fonts count="26" x14ac:knownFonts="1">
    <font>
      <sz val="10"/>
      <color rgb="FF000000"/>
      <name val="Bahnschrift"/>
      <scheme val="minor"/>
    </font>
    <font>
      <sz val="11"/>
      <color theme="1"/>
      <name val="Bahnschrift"/>
      <family val="2"/>
      <scheme val="minor"/>
    </font>
    <font>
      <sz val="11"/>
      <color theme="1"/>
      <name val="Bahnschrift"/>
      <family val="2"/>
      <scheme val="minor"/>
    </font>
    <font>
      <sz val="10"/>
      <name val="Bahnschrift"/>
      <family val="2"/>
    </font>
    <font>
      <b/>
      <sz val="10"/>
      <color rgb="FFFFFFFF"/>
      <name val="Bahnschrift"/>
      <family val="2"/>
    </font>
    <font>
      <b/>
      <sz val="10"/>
      <name val="Bahnschrift"/>
      <family val="2"/>
    </font>
    <font>
      <sz val="10"/>
      <color rgb="FF000000"/>
      <name val="Bahnschrift"/>
      <family val="2"/>
      <scheme val="minor"/>
    </font>
    <font>
      <sz val="10"/>
      <color rgb="FF000000"/>
      <name val="Bahnschrift"/>
      <family val="2"/>
      <scheme val="minor"/>
    </font>
    <font>
      <sz val="11"/>
      <name val="Bahnschrift"/>
      <family val="2"/>
    </font>
    <font>
      <sz val="10"/>
      <name val="Bahnschrift"/>
      <family val="2"/>
      <scheme val="minor"/>
    </font>
    <font>
      <sz val="12"/>
      <name val="Bahnschrift"/>
      <family val="2"/>
    </font>
    <font>
      <sz val="12"/>
      <name val="Bahnschrift"/>
      <family val="2"/>
      <scheme val="minor"/>
    </font>
    <font>
      <b/>
      <sz val="8"/>
      <name val="Bahnschrift"/>
      <family val="2"/>
    </font>
    <font>
      <sz val="9"/>
      <name val="Bahnschrift"/>
      <family val="2"/>
    </font>
    <font>
      <b/>
      <sz val="12"/>
      <name val="Bahnschrift"/>
      <family val="2"/>
    </font>
    <font>
      <b/>
      <i/>
      <sz val="12"/>
      <name val="Bahnschrift"/>
      <family val="2"/>
    </font>
    <font>
      <b/>
      <sz val="10"/>
      <name val="Bahnschrift"/>
      <family val="2"/>
      <scheme val="minor"/>
    </font>
    <font>
      <i/>
      <sz val="10"/>
      <color rgb="FF000000"/>
      <name val="Bahnschrift"/>
      <family val="2"/>
      <scheme val="minor"/>
    </font>
    <font>
      <i/>
      <sz val="10"/>
      <name val="Bahnschrift"/>
      <family val="2"/>
      <scheme val="minor"/>
    </font>
    <font>
      <b/>
      <sz val="10"/>
      <color rgb="FF000000"/>
      <name val="Bahnschrift"/>
      <family val="2"/>
      <scheme val="minor"/>
    </font>
    <font>
      <b/>
      <sz val="10"/>
      <color theme="0"/>
      <name val="Bahnschrift"/>
      <family val="2"/>
      <scheme val="minor"/>
    </font>
    <font>
      <sz val="10"/>
      <color theme="0"/>
      <name val="Bahnschrift"/>
      <family val="2"/>
      <scheme val="minor"/>
    </font>
    <font>
      <sz val="10"/>
      <color theme="1"/>
      <name val="Bahnschrift"/>
      <family val="2"/>
      <scheme val="minor"/>
    </font>
    <font>
      <b/>
      <sz val="10"/>
      <color theme="1"/>
      <name val="Bahnschrift"/>
      <family val="2"/>
      <scheme val="minor"/>
    </font>
    <font>
      <sz val="10"/>
      <color rgb="FF000000"/>
      <name val="Bahnschrift"/>
      <family val="2"/>
      <scheme val="minor"/>
    </font>
    <font>
      <b/>
      <i/>
      <sz val="10"/>
      <color rgb="FF000000"/>
      <name val="Bahnschrift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64B6C"/>
        <bgColor rgb="FF364B6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thin">
        <color theme="1"/>
      </top>
      <bottom style="medium">
        <color theme="1" tint="0.499984740745262"/>
      </bottom>
      <diagonal/>
    </border>
    <border>
      <left/>
      <right/>
      <top/>
      <bottom style="thin">
        <color indexed="8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2" fillId="0" borderId="0"/>
    <xf numFmtId="44" fontId="7" fillId="0" borderId="0" applyFont="0" applyFill="0" applyBorder="0" applyAlignment="0" applyProtection="0"/>
    <xf numFmtId="43" fontId="24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vertical="center"/>
    </xf>
    <xf numFmtId="0" fontId="2" fillId="0" borderId="0" xfId="2"/>
    <xf numFmtId="165" fontId="2" fillId="0" borderId="0" xfId="2" applyNumberFormat="1"/>
    <xf numFmtId="22" fontId="2" fillId="0" borderId="0" xfId="2" applyNumberFormat="1"/>
    <xf numFmtId="10" fontId="2" fillId="0" borderId="0" xfId="2" applyNumberFormat="1"/>
    <xf numFmtId="0" fontId="4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0" fontId="1" fillId="0" borderId="0" xfId="2" applyFont="1"/>
    <xf numFmtId="0" fontId="6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right"/>
    </xf>
    <xf numFmtId="0" fontId="6" fillId="0" borderId="0" xfId="0" applyFont="1" applyAlignment="1">
      <alignment horizontal="center"/>
    </xf>
    <xf numFmtId="44" fontId="0" fillId="0" borderId="0" xfId="3" applyFont="1" applyAlignment="1">
      <alignment horizontal="right"/>
    </xf>
    <xf numFmtId="0" fontId="6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right" vertical="center"/>
    </xf>
    <xf numFmtId="0" fontId="6" fillId="0" borderId="0" xfId="0" applyFont="1" applyAlignment="1">
      <alignment horizontal="center" vertical="center"/>
    </xf>
    <xf numFmtId="44" fontId="12" fillId="5" borderId="0" xfId="3" applyFont="1" applyFill="1" applyBorder="1" applyAlignment="1">
      <alignment horizontal="right"/>
    </xf>
    <xf numFmtId="17" fontId="14" fillId="5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right" vertical="top" wrapText="1"/>
    </xf>
    <xf numFmtId="0" fontId="14" fillId="5" borderId="1" xfId="0" applyFont="1" applyFill="1" applyBorder="1" applyAlignment="1">
      <alignment horizontal="center" vertical="center" wrapText="1"/>
    </xf>
    <xf numFmtId="17" fontId="15" fillId="5" borderId="1" xfId="3" applyNumberFormat="1" applyFont="1" applyFill="1" applyBorder="1" applyAlignment="1">
      <alignment horizontal="center" vertical="center"/>
    </xf>
    <xf numFmtId="2" fontId="15" fillId="5" borderId="1" xfId="3" applyNumberFormat="1" applyFont="1" applyFill="1" applyBorder="1" applyAlignment="1">
      <alignment horizontal="right" vertical="center"/>
    </xf>
    <xf numFmtId="2" fontId="15" fillId="5" borderId="1" xfId="0" applyNumberFormat="1" applyFont="1" applyFill="1" applyBorder="1" applyAlignment="1">
      <alignment horizontal="center" vertical="center"/>
    </xf>
    <xf numFmtId="164" fontId="15" fillId="5" borderId="1" xfId="1" applyNumberFormat="1" applyFont="1" applyFill="1" applyBorder="1" applyAlignment="1">
      <alignment horizontal="center" vertical="center"/>
    </xf>
    <xf numFmtId="2" fontId="10" fillId="5" borderId="1" xfId="3" applyNumberFormat="1" applyFont="1" applyFill="1" applyBorder="1" applyAlignment="1">
      <alignment horizontal="right" vertical="center"/>
    </xf>
    <xf numFmtId="164" fontId="10" fillId="5" borderId="1" xfId="1" applyNumberFormat="1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0" fontId="8" fillId="4" borderId="0" xfId="0" applyFont="1" applyFill="1"/>
    <xf numFmtId="17" fontId="9" fillId="4" borderId="0" xfId="0" applyNumberFormat="1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 applyAlignment="1">
      <alignment horizontal="center"/>
    </xf>
    <xf numFmtId="0" fontId="10" fillId="4" borderId="0" xfId="0" applyFont="1" applyFill="1"/>
    <xf numFmtId="17" fontId="10" fillId="4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right" vertical="center"/>
    </xf>
    <xf numFmtId="0" fontId="11" fillId="4" borderId="0" xfId="0" applyFont="1" applyFill="1"/>
    <xf numFmtId="17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5" fillId="5" borderId="0" xfId="0" applyFont="1" applyFill="1" applyAlignment="1">
      <alignment horizontal="right"/>
    </xf>
    <xf numFmtId="10" fontId="12" fillId="5" borderId="0" xfId="0" applyNumberFormat="1" applyFont="1" applyFill="1" applyAlignment="1">
      <alignment horizontal="right"/>
    </xf>
    <xf numFmtId="17" fontId="8" fillId="4" borderId="0" xfId="0" applyNumberFormat="1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8" fillId="4" borderId="0" xfId="0" applyFont="1" applyFill="1" applyAlignment="1">
      <alignment wrapText="1"/>
    </xf>
    <xf numFmtId="2" fontId="13" fillId="4" borderId="0" xfId="0" applyNumberFormat="1" applyFont="1" applyFill="1" applyAlignment="1">
      <alignment horizontal="right" vertical="center"/>
    </xf>
    <xf numFmtId="14" fontId="13" fillId="4" borderId="0" xfId="0" applyNumberFormat="1" applyFont="1" applyFill="1" applyAlignment="1">
      <alignment horizontal="right" vertical="center"/>
    </xf>
    <xf numFmtId="2" fontId="8" fillId="4" borderId="0" xfId="0" applyNumberFormat="1" applyFont="1" applyFill="1" applyAlignment="1">
      <alignment horizontal="right" vertical="center"/>
    </xf>
    <xf numFmtId="2" fontId="9" fillId="4" borderId="0" xfId="0" applyNumberFormat="1" applyFont="1" applyFill="1" applyAlignment="1">
      <alignment horizontal="right" vertical="center"/>
    </xf>
    <xf numFmtId="44" fontId="6" fillId="0" borderId="0" xfId="3" applyFont="1" applyAlignment="1">
      <alignment horizontal="right" vertical="center" wrapText="1"/>
    </xf>
    <xf numFmtId="44" fontId="6" fillId="0" borderId="0" xfId="3" applyFont="1" applyAlignment="1">
      <alignment horizontal="right"/>
    </xf>
    <xf numFmtId="0" fontId="18" fillId="0" borderId="0" xfId="0" applyFont="1" applyAlignment="1">
      <alignment horizontal="right" vertical="center"/>
    </xf>
    <xf numFmtId="44" fontId="18" fillId="0" borderId="0" xfId="0" applyNumberFormat="1" applyFont="1" applyAlignment="1">
      <alignment horizontal="right" vertical="center"/>
    </xf>
    <xf numFmtId="44" fontId="18" fillId="0" borderId="0" xfId="3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44" fontId="16" fillId="0" borderId="0" xfId="3" applyFont="1" applyAlignment="1">
      <alignment horizontal="right" vertical="center"/>
    </xf>
    <xf numFmtId="44" fontId="0" fillId="0" borderId="0" xfId="3" applyFont="1"/>
    <xf numFmtId="10" fontId="0" fillId="0" borderId="0" xfId="1" applyNumberFormat="1" applyFont="1"/>
    <xf numFmtId="0" fontId="0" fillId="0" borderId="0" xfId="0" applyAlignment="1">
      <alignment vertical="center" wrapText="1"/>
    </xf>
    <xf numFmtId="44" fontId="19" fillId="0" borderId="0" xfId="3" applyFont="1" applyAlignment="1">
      <alignment vertical="center"/>
    </xf>
    <xf numFmtId="10" fontId="19" fillId="0" borderId="0" xfId="1" applyNumberFormat="1" applyFont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0" fontId="6" fillId="0" borderId="0" xfId="0" applyNumberFormat="1" applyFont="1" applyAlignment="1">
      <alignment horizontal="right"/>
    </xf>
    <xf numFmtId="43" fontId="6" fillId="0" borderId="0" xfId="0" applyNumberFormat="1" applyFont="1" applyAlignment="1">
      <alignment horizontal="right" wrapText="1"/>
    </xf>
    <xf numFmtId="43" fontId="19" fillId="0" borderId="0" xfId="0" applyNumberFormat="1" applyFont="1" applyAlignment="1">
      <alignment horizontal="right" wrapText="1"/>
    </xf>
    <xf numFmtId="10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center"/>
    </xf>
    <xf numFmtId="0" fontId="21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right" vertical="center" wrapText="1"/>
    </xf>
    <xf numFmtId="14" fontId="6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/>
    <xf numFmtId="0" fontId="0" fillId="3" borderId="0" xfId="0" applyFill="1" applyAlignment="1">
      <alignment horizontal="right"/>
    </xf>
    <xf numFmtId="164" fontId="23" fillId="6" borderId="0" xfId="1" applyNumberFormat="1" applyFont="1" applyFill="1"/>
    <xf numFmtId="164" fontId="22" fillId="0" borderId="0" xfId="1" applyNumberFormat="1" applyFont="1"/>
    <xf numFmtId="164" fontId="23" fillId="0" borderId="3" xfId="1" applyNumberFormat="1" applyFont="1" applyBorder="1"/>
    <xf numFmtId="164" fontId="0" fillId="0" borderId="0" xfId="1" applyNumberFormat="1" applyFont="1"/>
    <xf numFmtId="44" fontId="0" fillId="0" borderId="0" xfId="0" applyNumberFormat="1" applyAlignment="1">
      <alignment horizontal="center"/>
    </xf>
    <xf numFmtId="0" fontId="0" fillId="0" borderId="0" xfId="1" applyNumberFormat="1" applyFont="1"/>
    <xf numFmtId="43" fontId="23" fillId="6" borderId="0" xfId="4" applyFont="1" applyFill="1"/>
    <xf numFmtId="43" fontId="22" fillId="0" borderId="0" xfId="4" applyFont="1"/>
    <xf numFmtId="43" fontId="23" fillId="0" borderId="3" xfId="4" applyFont="1" applyBorder="1"/>
    <xf numFmtId="0" fontId="20" fillId="3" borderId="0" xfId="0" applyFont="1" applyFill="1" applyAlignment="1">
      <alignment horizontal="right"/>
    </xf>
    <xf numFmtId="164" fontId="0" fillId="3" borderId="0" xfId="1" applyNumberFormat="1" applyFont="1" applyFill="1"/>
    <xf numFmtId="164" fontId="20" fillId="3" borderId="0" xfId="1" applyNumberFormat="1" applyFont="1" applyFill="1" applyAlignment="1">
      <alignment horizontal="right"/>
    </xf>
    <xf numFmtId="44" fontId="0" fillId="0" borderId="0" xfId="0" applyNumberFormat="1"/>
    <xf numFmtId="44" fontId="0" fillId="0" borderId="0" xfId="0" applyNumberFormat="1" applyAlignment="1">
      <alignment horizontal="left" indent="1"/>
    </xf>
    <xf numFmtId="0" fontId="23" fillId="4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right" vertical="center" wrapText="1"/>
    </xf>
    <xf numFmtId="0" fontId="23" fillId="4" borderId="2" xfId="0" applyFont="1" applyFill="1" applyBorder="1" applyAlignment="1">
      <alignment horizontal="right" wrapText="1"/>
    </xf>
    <xf numFmtId="0" fontId="6" fillId="0" borderId="0" xfId="0" pivotButton="1" applyFont="1"/>
    <xf numFmtId="0" fontId="2" fillId="7" borderId="0" xfId="2" applyFill="1"/>
    <xf numFmtId="0" fontId="6" fillId="7" borderId="0" xfId="2" applyFont="1" applyFill="1"/>
    <xf numFmtId="44" fontId="6" fillId="0" borderId="0" xfId="3" applyFont="1"/>
    <xf numFmtId="0" fontId="6" fillId="0" borderId="0" xfId="0" applyFont="1" applyAlignment="1">
      <alignment horizontal="left" indent="1"/>
    </xf>
    <xf numFmtId="43" fontId="0" fillId="0" borderId="0" xfId="0" applyNumberFormat="1"/>
    <xf numFmtId="0" fontId="6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5" fillId="0" borderId="0" xfId="0" applyFont="1"/>
    <xf numFmtId="0" fontId="19" fillId="0" borderId="4" xfId="0" applyFont="1" applyBorder="1"/>
    <xf numFmtId="2" fontId="6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6" fontId="19" fillId="0" borderId="0" xfId="0" applyNumberFormat="1" applyFont="1" applyAlignment="1">
      <alignment horizontal="right"/>
    </xf>
    <xf numFmtId="0" fontId="8" fillId="4" borderId="0" xfId="0" applyFont="1" applyFill="1"/>
  </cellXfs>
  <cellStyles count="5">
    <cellStyle name="Moeda" xfId="3" builtinId="4"/>
    <cellStyle name="Normal" xfId="0" builtinId="0"/>
    <cellStyle name="Normal 2" xfId="2" xr:uid="{41BDBB49-6A92-4E9A-87D4-3FCD9E825AAE}"/>
    <cellStyle name="Porcentagem" xfId="1" builtinId="5"/>
    <cellStyle name="Vírgula" xfId="4" builtinId="3"/>
  </cellStyles>
  <dxfs count="107">
    <dxf>
      <font>
        <color rgb="FF9C0006"/>
      </font>
    </dxf>
    <dxf>
      <font>
        <b/>
        <i val="0"/>
        <color rgb="FF6DF3BD"/>
      </font>
    </dxf>
    <dxf>
      <font>
        <b/>
        <i val="0"/>
        <color rgb="FF6DF3BD"/>
      </font>
    </dxf>
    <dxf>
      <font>
        <color rgb="FF9C0006"/>
      </font>
    </dxf>
    <dxf>
      <font>
        <color rgb="FF9C0006"/>
      </font>
    </dxf>
    <dxf>
      <font>
        <b/>
        <i val="0"/>
        <color rgb="FF6DF3BD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Bahnschrift"/>
        <scheme val="minor"/>
      </font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Bahnschrift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Bahnschrift"/>
        <family val="2"/>
        <scheme val="minor"/>
      </font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Bahnschrift"/>
        <family val="2"/>
        <scheme val="minor"/>
      </font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left" relativeIndent="1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right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65" formatCode="_-[$R$-416]\ * #,##0.00_-;\-[$R$-416]\ * #,##0.00_-;_-[$R$-416]\ * &quot;-&quot;??_-;_-@_-"/>
    </dxf>
    <dxf>
      <numFmt numFmtId="27" formatCode="dd/mm/yyyy\ hh:mm"/>
    </dxf>
    <dxf>
      <numFmt numFmtId="165" formatCode="_-[$R$-416]\ * #,##0.00_-;\-[$R$-416]\ * #,##0.00_-;_-[$R$-416]\ * &quot;-&quot;??_-;_-@_-"/>
    </dxf>
    <dxf>
      <numFmt numFmtId="166" formatCode="#,##0.00_ ;\-#,##0.00\ "/>
    </dxf>
    <dxf>
      <font>
        <color theme="0"/>
      </font>
      <fill>
        <patternFill patternType="solid">
          <fgColor indexed="64"/>
          <bgColor theme="1"/>
        </patternFill>
      </fill>
      <alignment vertical="center"/>
    </dxf>
    <dxf>
      <alignment horizontal="right"/>
    </dxf>
    <dxf>
      <alignment wrapText="1"/>
    </dxf>
    <dxf>
      <font>
        <color theme="0"/>
      </font>
      <fill>
        <patternFill patternType="solid">
          <fgColor indexed="64"/>
          <bgColor theme="1"/>
        </patternFill>
      </fill>
      <alignment horizontal="right" vertical="center"/>
    </dxf>
    <dxf>
      <alignment wrapText="1"/>
    </dxf>
    <dxf>
      <numFmt numFmtId="2" formatCode="0.00"/>
    </dxf>
    <dxf>
      <numFmt numFmtId="35" formatCode="_-* #,##0.00_-;\-* #,##0.00_-;_-* &quot;-&quot;??_-;_-@_-"/>
    </dxf>
    <dxf>
      <font>
        <color theme="0"/>
      </font>
      <fill>
        <patternFill patternType="solid">
          <fgColor indexed="64"/>
          <bgColor theme="1"/>
        </patternFill>
      </fill>
      <alignment vertical="center" wrapText="1"/>
    </dxf>
    <dxf>
      <numFmt numFmtId="14" formatCode="0.00%"/>
    </dxf>
    <dxf>
      <alignment horizontal="right"/>
    </dxf>
    <dxf>
      <alignment horizontal="right"/>
    </dxf>
    <dxf>
      <alignment vertical="center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font>
        <name val="Bahnschrift"/>
        <family val="2"/>
      </font>
    </dxf>
    <dxf>
      <font>
        <name val="Bahnschrift"/>
        <family val="2"/>
      </font>
    </dxf>
    <dxf>
      <font>
        <name val="Bahnschrift"/>
        <family val="2"/>
      </font>
    </dxf>
    <dxf>
      <font>
        <name val="Bahnschrift"/>
        <family val="2"/>
      </font>
    </dxf>
    <dxf>
      <font>
        <name val="Bahnschrift"/>
        <family val="2"/>
      </font>
    </dxf>
    <dxf>
      <font>
        <name val="Bahnschrift"/>
        <family val="2"/>
      </font>
    </dxf>
    <dxf>
      <font>
        <name val="Bahnschrift"/>
        <family val="2"/>
      </font>
    </dxf>
    <dxf>
      <font>
        <name val="Bahnschrift"/>
        <family val="2"/>
      </font>
    </dxf>
    <dxf>
      <numFmt numFmtId="14" formatCode="0.00%"/>
    </dxf>
    <dxf>
      <alignment horizontal="right"/>
    </dxf>
    <dxf>
      <alignment wrapText="1"/>
    </dxf>
    <dxf>
      <numFmt numFmtId="35" formatCode="_-* #,##0.00_-;\-* #,##0.00_-;_-* &quot;-&quot;??_-;_-@_-"/>
    </dxf>
    <dxf>
      <alignment horizontal="right"/>
    </dxf>
    <dxf>
      <alignment horizontal="right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ill>
        <patternFill patternType="solid">
          <fgColor rgb="FF131313"/>
          <bgColor rgb="FF131313"/>
        </patternFill>
      </fill>
    </dxf>
    <dxf>
      <fill>
        <patternFill patternType="solid">
          <fgColor rgb="FF1F1F1F"/>
          <bgColor rgb="FF1F1F1F"/>
        </patternFill>
      </fill>
    </dxf>
  </dxfs>
  <tableStyles count="1" defaultTableStyle="TableStyleMedium2">
    <tableStyle name="PREVISAO-style" pivot="0" count="2" xr9:uid="{E7276B42-B0CB-449E-9EA4-6B68F1F8A2D8}">
      <tableStyleElement type="firstRowStripe" dxfId="106"/>
      <tableStyleElement type="secondRowStripe" dxfId="105"/>
    </tableStyle>
  </tableStyles>
  <colors>
    <mruColors>
      <color rgb="FFFF5050"/>
      <color rgb="FF6DF3BD"/>
      <color rgb="FF080808"/>
      <color rgb="FF78B9F4"/>
      <color rgb="FFF5F5F5"/>
      <color rgb="FFF0564A"/>
      <color rgb="FF8D9FF9"/>
      <color rgb="FFA43D3D"/>
      <color rgb="FF131313"/>
      <color rgb="FF21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06/relationships/rdRichValue" Target="richData/rdrichvalu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[Controle_planilha_v8_2024_financas_24 (2)111.xlsx]planejamento financeiro!Tabela dinâmica1</c:name>
    <c:fmtId val="2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'planejamento financeiro'!$B$3:$B$4</c:f>
              <c:strCache>
                <c:ptCount val="1"/>
                <c:pt idx="0">
                  <c:v>Entradas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'planejamento financeiro'!$A$5:$A$48</c:f>
              <c:multiLvlStrCache>
                <c:ptCount val="39"/>
                <c:lvl>
                  <c:pt idx="0">
                    <c:v>out</c:v>
                  </c:pt>
                  <c:pt idx="1">
                    <c:v>nov</c:v>
                  </c:pt>
                  <c:pt idx="2">
                    <c:v>dez</c:v>
                  </c:pt>
                  <c:pt idx="3">
                    <c:v>jan</c:v>
                  </c:pt>
                  <c:pt idx="4">
                    <c:v>fev</c:v>
                  </c:pt>
                  <c:pt idx="5">
                    <c:v>mar</c:v>
                  </c:pt>
                  <c:pt idx="6">
                    <c:v>abr</c:v>
                  </c:pt>
                  <c:pt idx="7">
                    <c:v>mai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ago</c:v>
                  </c:pt>
                  <c:pt idx="11">
                    <c:v>set</c:v>
                  </c:pt>
                  <c:pt idx="12">
                    <c:v>out</c:v>
                  </c:pt>
                  <c:pt idx="13">
                    <c:v>nov</c:v>
                  </c:pt>
                  <c:pt idx="14">
                    <c:v>dez</c:v>
                  </c:pt>
                  <c:pt idx="15">
                    <c:v>jan</c:v>
                  </c:pt>
                  <c:pt idx="16">
                    <c:v>fev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mai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ago</c:v>
                  </c:pt>
                  <c:pt idx="23">
                    <c:v>set</c:v>
                  </c:pt>
                  <c:pt idx="24">
                    <c:v>out</c:v>
                  </c:pt>
                  <c:pt idx="25">
                    <c:v>nov</c:v>
                  </c:pt>
                  <c:pt idx="26">
                    <c:v>dez</c:v>
                  </c:pt>
                  <c:pt idx="27">
                    <c:v>jan</c:v>
                  </c:pt>
                  <c:pt idx="28">
                    <c:v>fev</c:v>
                  </c:pt>
                  <c:pt idx="29">
                    <c:v>mar</c:v>
                  </c:pt>
                  <c:pt idx="30">
                    <c:v>abr</c:v>
                  </c:pt>
                  <c:pt idx="31">
                    <c:v>mai</c:v>
                  </c:pt>
                  <c:pt idx="32">
                    <c:v>jun</c:v>
                  </c:pt>
                  <c:pt idx="33">
                    <c:v>jul</c:v>
                  </c:pt>
                  <c:pt idx="34">
                    <c:v>ago</c:v>
                  </c:pt>
                  <c:pt idx="35">
                    <c:v>set</c:v>
                  </c:pt>
                  <c:pt idx="36">
                    <c:v>out</c:v>
                  </c:pt>
                  <c:pt idx="37">
                    <c:v>nov</c:v>
                  </c:pt>
                  <c:pt idx="38">
                    <c:v>dez</c:v>
                  </c:pt>
                </c:lvl>
                <c:lvl>
                  <c:pt idx="0">
                    <c:v>2026</c:v>
                  </c:pt>
                  <c:pt idx="3">
                    <c:v>2027</c:v>
                  </c:pt>
                  <c:pt idx="15">
                    <c:v>2028</c:v>
                  </c:pt>
                  <c:pt idx="27">
                    <c:v>2029</c:v>
                  </c:pt>
                </c:lvl>
              </c:multiLvlStrCache>
            </c:multiLvlStrRef>
          </c:cat>
          <c:val>
            <c:numRef>
              <c:f>'planejamento financeiro'!$B$5:$B$48</c:f>
              <c:numCache>
                <c:formatCode>_("R$"* #,##0.00_);_("R$"* \(#,##0.00\);_("R$"* "-"??_);_(@_)</c:formatCode>
                <c:ptCount val="39"/>
                <c:pt idx="1">
                  <c:v>18820</c:v>
                </c:pt>
                <c:pt idx="2">
                  <c:v>13410</c:v>
                </c:pt>
                <c:pt idx="3">
                  <c:v>13410</c:v>
                </c:pt>
                <c:pt idx="4">
                  <c:v>8700</c:v>
                </c:pt>
                <c:pt idx="5">
                  <c:v>8700</c:v>
                </c:pt>
                <c:pt idx="6">
                  <c:v>8700</c:v>
                </c:pt>
                <c:pt idx="7">
                  <c:v>8700</c:v>
                </c:pt>
                <c:pt idx="8">
                  <c:v>8700</c:v>
                </c:pt>
                <c:pt idx="9">
                  <c:v>8700</c:v>
                </c:pt>
                <c:pt idx="10">
                  <c:v>8700</c:v>
                </c:pt>
                <c:pt idx="11">
                  <c:v>8000</c:v>
                </c:pt>
                <c:pt idx="12">
                  <c:v>8000</c:v>
                </c:pt>
                <c:pt idx="13">
                  <c:v>8000</c:v>
                </c:pt>
                <c:pt idx="14">
                  <c:v>8000</c:v>
                </c:pt>
                <c:pt idx="15">
                  <c:v>8000</c:v>
                </c:pt>
                <c:pt idx="16">
                  <c:v>8000</c:v>
                </c:pt>
                <c:pt idx="17">
                  <c:v>8000</c:v>
                </c:pt>
                <c:pt idx="18">
                  <c:v>8000</c:v>
                </c:pt>
                <c:pt idx="19">
                  <c:v>8000</c:v>
                </c:pt>
                <c:pt idx="20">
                  <c:v>8000</c:v>
                </c:pt>
                <c:pt idx="21">
                  <c:v>8000</c:v>
                </c:pt>
                <c:pt idx="22">
                  <c:v>8000</c:v>
                </c:pt>
                <c:pt idx="23">
                  <c:v>8000</c:v>
                </c:pt>
                <c:pt idx="24">
                  <c:v>8000</c:v>
                </c:pt>
                <c:pt idx="25">
                  <c:v>8000</c:v>
                </c:pt>
                <c:pt idx="26">
                  <c:v>8000</c:v>
                </c:pt>
                <c:pt idx="27">
                  <c:v>8000</c:v>
                </c:pt>
                <c:pt idx="28">
                  <c:v>8000</c:v>
                </c:pt>
                <c:pt idx="29">
                  <c:v>8000</c:v>
                </c:pt>
                <c:pt idx="30">
                  <c:v>8000</c:v>
                </c:pt>
                <c:pt idx="31">
                  <c:v>8000</c:v>
                </c:pt>
                <c:pt idx="32">
                  <c:v>8000</c:v>
                </c:pt>
                <c:pt idx="33">
                  <c:v>8000</c:v>
                </c:pt>
                <c:pt idx="34">
                  <c:v>8000</c:v>
                </c:pt>
                <c:pt idx="35">
                  <c:v>8000</c:v>
                </c:pt>
                <c:pt idx="36">
                  <c:v>8000</c:v>
                </c:pt>
                <c:pt idx="37">
                  <c:v>8000</c:v>
                </c:pt>
                <c:pt idx="38">
                  <c:v>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09-432C-AA34-C6C24CF27DD1}"/>
            </c:ext>
          </c:extLst>
        </c:ser>
        <c:ser>
          <c:idx val="1"/>
          <c:order val="1"/>
          <c:tx>
            <c:strRef>
              <c:f>'planejamento financeiro'!$C$3:$C$4</c:f>
              <c:strCache>
                <c:ptCount val="1"/>
                <c:pt idx="0">
                  <c:v>Saídas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'planejamento financeiro'!$A$5:$A$48</c:f>
              <c:multiLvlStrCache>
                <c:ptCount val="39"/>
                <c:lvl>
                  <c:pt idx="0">
                    <c:v>out</c:v>
                  </c:pt>
                  <c:pt idx="1">
                    <c:v>nov</c:v>
                  </c:pt>
                  <c:pt idx="2">
                    <c:v>dez</c:v>
                  </c:pt>
                  <c:pt idx="3">
                    <c:v>jan</c:v>
                  </c:pt>
                  <c:pt idx="4">
                    <c:v>fev</c:v>
                  </c:pt>
                  <c:pt idx="5">
                    <c:v>mar</c:v>
                  </c:pt>
                  <c:pt idx="6">
                    <c:v>abr</c:v>
                  </c:pt>
                  <c:pt idx="7">
                    <c:v>mai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ago</c:v>
                  </c:pt>
                  <c:pt idx="11">
                    <c:v>set</c:v>
                  </c:pt>
                  <c:pt idx="12">
                    <c:v>out</c:v>
                  </c:pt>
                  <c:pt idx="13">
                    <c:v>nov</c:v>
                  </c:pt>
                  <c:pt idx="14">
                    <c:v>dez</c:v>
                  </c:pt>
                  <c:pt idx="15">
                    <c:v>jan</c:v>
                  </c:pt>
                  <c:pt idx="16">
                    <c:v>fev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mai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ago</c:v>
                  </c:pt>
                  <c:pt idx="23">
                    <c:v>set</c:v>
                  </c:pt>
                  <c:pt idx="24">
                    <c:v>out</c:v>
                  </c:pt>
                  <c:pt idx="25">
                    <c:v>nov</c:v>
                  </c:pt>
                  <c:pt idx="26">
                    <c:v>dez</c:v>
                  </c:pt>
                  <c:pt idx="27">
                    <c:v>jan</c:v>
                  </c:pt>
                  <c:pt idx="28">
                    <c:v>fev</c:v>
                  </c:pt>
                  <c:pt idx="29">
                    <c:v>mar</c:v>
                  </c:pt>
                  <c:pt idx="30">
                    <c:v>abr</c:v>
                  </c:pt>
                  <c:pt idx="31">
                    <c:v>mai</c:v>
                  </c:pt>
                  <c:pt idx="32">
                    <c:v>jun</c:v>
                  </c:pt>
                  <c:pt idx="33">
                    <c:v>jul</c:v>
                  </c:pt>
                  <c:pt idx="34">
                    <c:v>ago</c:v>
                  </c:pt>
                  <c:pt idx="35">
                    <c:v>set</c:v>
                  </c:pt>
                  <c:pt idx="36">
                    <c:v>out</c:v>
                  </c:pt>
                  <c:pt idx="37">
                    <c:v>nov</c:v>
                  </c:pt>
                  <c:pt idx="38">
                    <c:v>dez</c:v>
                  </c:pt>
                </c:lvl>
                <c:lvl>
                  <c:pt idx="0">
                    <c:v>2026</c:v>
                  </c:pt>
                  <c:pt idx="3">
                    <c:v>2027</c:v>
                  </c:pt>
                  <c:pt idx="15">
                    <c:v>2028</c:v>
                  </c:pt>
                  <c:pt idx="27">
                    <c:v>2029</c:v>
                  </c:pt>
                </c:lvl>
              </c:multiLvlStrCache>
            </c:multiLvlStrRef>
          </c:cat>
          <c:val>
            <c:numRef>
              <c:f>'planejamento financeiro'!$C$5:$C$48</c:f>
              <c:numCache>
                <c:formatCode>_("R$"* #,##0.00_);_("R$"* \(#,##0.00\);_("R$"* "-"??_);_(@_)</c:formatCode>
                <c:ptCount val="39"/>
                <c:pt idx="1">
                  <c:v>6834.2083600000005</c:v>
                </c:pt>
                <c:pt idx="2">
                  <c:v>5838.1843600000002</c:v>
                </c:pt>
                <c:pt idx="3">
                  <c:v>4678.6835199999996</c:v>
                </c:pt>
                <c:pt idx="4">
                  <c:v>3457.6940999999997</c:v>
                </c:pt>
                <c:pt idx="5">
                  <c:v>3523.2150599999995</c:v>
                </c:pt>
                <c:pt idx="6">
                  <c:v>3586.2248</c:v>
                </c:pt>
                <c:pt idx="7">
                  <c:v>3649.2241199999999</c:v>
                </c:pt>
                <c:pt idx="8">
                  <c:v>3703.82492</c:v>
                </c:pt>
                <c:pt idx="9">
                  <c:v>3758.4361399999998</c:v>
                </c:pt>
                <c:pt idx="10">
                  <c:v>3313.03694</c:v>
                </c:pt>
                <c:pt idx="11">
                  <c:v>4367.6377400000001</c:v>
                </c:pt>
                <c:pt idx="12">
                  <c:v>3422.2385399999998</c:v>
                </c:pt>
                <c:pt idx="13">
                  <c:v>4476.8497600000001</c:v>
                </c:pt>
                <c:pt idx="14">
                  <c:v>4531.4505600000002</c:v>
                </c:pt>
                <c:pt idx="15">
                  <c:v>1869.9521000000002</c:v>
                </c:pt>
                <c:pt idx="16">
                  <c:v>1920.3536400000003</c:v>
                </c:pt>
                <c:pt idx="17">
                  <c:v>1968.2439600000002</c:v>
                </c:pt>
                <c:pt idx="18">
                  <c:v>2015.2798400000001</c:v>
                </c:pt>
                <c:pt idx="19">
                  <c:v>2040.4858200000003</c:v>
                </c:pt>
                <c:pt idx="20">
                  <c:v>2065.68138</c:v>
                </c:pt>
                <c:pt idx="21">
                  <c:v>2090.8873600000002</c:v>
                </c:pt>
                <c:pt idx="22">
                  <c:v>2110.8873600000002</c:v>
                </c:pt>
                <c:pt idx="23">
                  <c:v>2116.0933400000004</c:v>
                </c:pt>
                <c:pt idx="24">
                  <c:v>2532.8903800000003</c:v>
                </c:pt>
                <c:pt idx="25">
                  <c:v>2549.6874200000002</c:v>
                </c:pt>
                <c:pt idx="26">
                  <c:v>2566.4948800000002</c:v>
                </c:pt>
                <c:pt idx="27">
                  <c:v>2583.2919200000001</c:v>
                </c:pt>
                <c:pt idx="28">
                  <c:v>2600.08896</c:v>
                </c:pt>
                <c:pt idx="29">
                  <c:v>2616.89642</c:v>
                </c:pt>
                <c:pt idx="30">
                  <c:v>2617.0631400000002</c:v>
                </c:pt>
                <c:pt idx="31">
                  <c:v>2847.0012800000004</c:v>
                </c:pt>
                <c:pt idx="32">
                  <c:v>2846.9908599999999</c:v>
                </c:pt>
                <c:pt idx="33">
                  <c:v>2846.9804400000003</c:v>
                </c:pt>
                <c:pt idx="34">
                  <c:v>2846.9596000000006</c:v>
                </c:pt>
                <c:pt idx="35">
                  <c:v>2846.9491800000001</c:v>
                </c:pt>
                <c:pt idx="36">
                  <c:v>2846.9283400000004</c:v>
                </c:pt>
                <c:pt idx="37">
                  <c:v>2846.9179200000003</c:v>
                </c:pt>
                <c:pt idx="38">
                  <c:v>2846.8970799999997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09-432C-AA34-C6C24CF27DD1}"/>
            </c:ext>
          </c:extLst>
        </c:ser>
        <c:ser>
          <c:idx val="2"/>
          <c:order val="2"/>
          <c:tx>
            <c:strRef>
              <c:f>'planejamento financeiro'!$D$3:$D$4</c:f>
              <c:strCache>
                <c:ptCount val="1"/>
                <c:pt idx="0">
                  <c:v>Aporte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'planejamento financeiro'!$A$5:$A$48</c:f>
              <c:multiLvlStrCache>
                <c:ptCount val="39"/>
                <c:lvl>
                  <c:pt idx="0">
                    <c:v>out</c:v>
                  </c:pt>
                  <c:pt idx="1">
                    <c:v>nov</c:v>
                  </c:pt>
                  <c:pt idx="2">
                    <c:v>dez</c:v>
                  </c:pt>
                  <c:pt idx="3">
                    <c:v>jan</c:v>
                  </c:pt>
                  <c:pt idx="4">
                    <c:v>fev</c:v>
                  </c:pt>
                  <c:pt idx="5">
                    <c:v>mar</c:v>
                  </c:pt>
                  <c:pt idx="6">
                    <c:v>abr</c:v>
                  </c:pt>
                  <c:pt idx="7">
                    <c:v>mai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ago</c:v>
                  </c:pt>
                  <c:pt idx="11">
                    <c:v>set</c:v>
                  </c:pt>
                  <c:pt idx="12">
                    <c:v>out</c:v>
                  </c:pt>
                  <c:pt idx="13">
                    <c:v>nov</c:v>
                  </c:pt>
                  <c:pt idx="14">
                    <c:v>dez</c:v>
                  </c:pt>
                  <c:pt idx="15">
                    <c:v>jan</c:v>
                  </c:pt>
                  <c:pt idx="16">
                    <c:v>fev</c:v>
                  </c:pt>
                  <c:pt idx="17">
                    <c:v>mar</c:v>
                  </c:pt>
                  <c:pt idx="18">
                    <c:v>abr</c:v>
                  </c:pt>
                  <c:pt idx="19">
                    <c:v>mai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ago</c:v>
                  </c:pt>
                  <c:pt idx="23">
                    <c:v>set</c:v>
                  </c:pt>
                  <c:pt idx="24">
                    <c:v>out</c:v>
                  </c:pt>
                  <c:pt idx="25">
                    <c:v>nov</c:v>
                  </c:pt>
                  <c:pt idx="26">
                    <c:v>dez</c:v>
                  </c:pt>
                  <c:pt idx="27">
                    <c:v>jan</c:v>
                  </c:pt>
                  <c:pt idx="28">
                    <c:v>fev</c:v>
                  </c:pt>
                  <c:pt idx="29">
                    <c:v>mar</c:v>
                  </c:pt>
                  <c:pt idx="30">
                    <c:v>abr</c:v>
                  </c:pt>
                  <c:pt idx="31">
                    <c:v>mai</c:v>
                  </c:pt>
                  <c:pt idx="32">
                    <c:v>jun</c:v>
                  </c:pt>
                  <c:pt idx="33">
                    <c:v>jul</c:v>
                  </c:pt>
                  <c:pt idx="34">
                    <c:v>ago</c:v>
                  </c:pt>
                  <c:pt idx="35">
                    <c:v>set</c:v>
                  </c:pt>
                  <c:pt idx="36">
                    <c:v>out</c:v>
                  </c:pt>
                  <c:pt idx="37">
                    <c:v>nov</c:v>
                  </c:pt>
                  <c:pt idx="38">
                    <c:v>dez</c:v>
                  </c:pt>
                </c:lvl>
                <c:lvl>
                  <c:pt idx="0">
                    <c:v>2026</c:v>
                  </c:pt>
                  <c:pt idx="3">
                    <c:v>2027</c:v>
                  </c:pt>
                  <c:pt idx="15">
                    <c:v>2028</c:v>
                  </c:pt>
                  <c:pt idx="27">
                    <c:v>2029</c:v>
                  </c:pt>
                </c:lvl>
              </c:multiLvlStrCache>
            </c:multiLvlStrRef>
          </c:cat>
          <c:val>
            <c:numRef>
              <c:f>'planejamento financeiro'!$D$5:$D$48</c:f>
              <c:numCache>
                <c:formatCode>_("R$"* #,##0.00_);_("R$"* \(#,##0.00\);_("R$"* "-"??_);_(@_)</c:formatCode>
                <c:ptCount val="39"/>
                <c:pt idx="0">
                  <c:v>799.80000000000018</c:v>
                </c:pt>
                <c:pt idx="1">
                  <c:v>2000</c:v>
                </c:pt>
                <c:pt idx="2">
                  <c:v>2000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3500</c:v>
                </c:pt>
                <c:pt idx="12">
                  <c:v>3500</c:v>
                </c:pt>
                <c:pt idx="13">
                  <c:v>3500</c:v>
                </c:pt>
                <c:pt idx="14">
                  <c:v>3500</c:v>
                </c:pt>
                <c:pt idx="15">
                  <c:v>4000</c:v>
                </c:pt>
                <c:pt idx="16">
                  <c:v>4000</c:v>
                </c:pt>
                <c:pt idx="17">
                  <c:v>4000</c:v>
                </c:pt>
                <c:pt idx="18">
                  <c:v>4000</c:v>
                </c:pt>
                <c:pt idx="19">
                  <c:v>4000</c:v>
                </c:pt>
                <c:pt idx="20">
                  <c:v>4000</c:v>
                </c:pt>
                <c:pt idx="21">
                  <c:v>4000</c:v>
                </c:pt>
                <c:pt idx="22">
                  <c:v>4000</c:v>
                </c:pt>
                <c:pt idx="23">
                  <c:v>4000</c:v>
                </c:pt>
                <c:pt idx="24">
                  <c:v>4000</c:v>
                </c:pt>
                <c:pt idx="25">
                  <c:v>3000</c:v>
                </c:pt>
                <c:pt idx="26">
                  <c:v>3000</c:v>
                </c:pt>
                <c:pt idx="27">
                  <c:v>3000</c:v>
                </c:pt>
                <c:pt idx="28">
                  <c:v>3000</c:v>
                </c:pt>
                <c:pt idx="29">
                  <c:v>3000</c:v>
                </c:pt>
                <c:pt idx="30">
                  <c:v>3000</c:v>
                </c:pt>
                <c:pt idx="31">
                  <c:v>3000</c:v>
                </c:pt>
                <c:pt idx="32">
                  <c:v>3000</c:v>
                </c:pt>
                <c:pt idx="33">
                  <c:v>3000</c:v>
                </c:pt>
                <c:pt idx="34">
                  <c:v>3000</c:v>
                </c:pt>
                <c:pt idx="35">
                  <c:v>3000</c:v>
                </c:pt>
                <c:pt idx="36">
                  <c:v>3000</c:v>
                </c:pt>
                <c:pt idx="37">
                  <c:v>3000</c:v>
                </c:pt>
                <c:pt idx="38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09-432C-AA34-C6C24CF27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83664"/>
        <c:axId val="41183184"/>
      </c:lineChart>
      <c:catAx>
        <c:axId val="4118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183184"/>
        <c:crosses val="autoZero"/>
        <c:auto val="1"/>
        <c:lblAlgn val="ctr"/>
        <c:lblOffset val="100"/>
        <c:noMultiLvlLbl val="0"/>
      </c:catAx>
      <c:valAx>
        <c:axId val="4118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18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95248</xdr:colOff>
      <xdr:row>0</xdr:row>
      <xdr:rowOff>123825</xdr:rowOff>
    </xdr:from>
    <xdr:to>
      <xdr:col>22</xdr:col>
      <xdr:colOff>323849</xdr:colOff>
      <xdr:row>31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459898-318A-511A-145E-58658F362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3</xdr:row>
      <xdr:rowOff>0</xdr:rowOff>
    </xdr:from>
    <xdr:to>
      <xdr:col>24</xdr:col>
      <xdr:colOff>257412</xdr:colOff>
      <xdr:row>461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7E1F1E-0B9A-6126-D13E-91BF704AC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68700" y="581025"/>
          <a:ext cx="1476612" cy="35909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Ribeiro | LOYALTYCOM" refreshedDate="46322.488030902779" createdVersion="8" refreshedVersion="8" minRefreshableVersion="3" recordCount="439" xr:uid="{F1DE0269-4CEE-40CB-81DB-6F5D5D179FAC}">
  <cacheSource type="worksheet">
    <worksheetSource name="tb_investimentos"/>
  </cacheSource>
  <cacheFields count="27">
    <cacheField name="TIPO MOVIMENTAÇÃO" numFmtId="0">
      <sharedItems count="4">
        <s v="Aporte"/>
        <s v="Entradas"/>
        <s v="Saídas"/>
        <s v="Entrada" u="1"/>
      </sharedItems>
    </cacheField>
    <cacheField name="DATA" numFmtId="14">
      <sharedItems containsSemiMixedTypes="0" containsNonDate="0" containsDate="1" containsString="0" minDate="2026-10-07T00:00:00" maxDate="2029-12-16T00:00:00" count="169">
        <d v="2026-10-07T00:00:00"/>
        <d v="2026-10-14T00:00:00"/>
        <d v="2026-10-19T00:00:00"/>
        <d v="2026-10-20T00:00:00"/>
        <d v="2026-11-05T00:00:00"/>
        <d v="2026-11-06T00:00:00"/>
        <d v="2026-11-08T00:00:00"/>
        <d v="2026-11-10T00:00:00"/>
        <d v="2026-11-12T00:00:00"/>
        <d v="2026-11-15T00:00:00"/>
        <d v="2026-11-20T00:00:00"/>
        <d v="2026-11-24T00:00:00"/>
        <d v="2026-11-30T00:00:00"/>
        <d v="2026-12-05T00:00:00"/>
        <d v="2026-12-06T00:00:00"/>
        <d v="2026-12-08T00:00:00"/>
        <d v="2026-12-10T00:00:00"/>
        <d v="2026-12-12T00:00:00"/>
        <d v="2026-12-15T00:00:00"/>
        <d v="2026-12-20T00:00:00"/>
        <d v="2026-12-24T00:00:00"/>
        <d v="2026-12-30T00:00:00"/>
        <d v="2027-01-05T00:00:00"/>
        <d v="2027-01-06T00:00:00"/>
        <d v="2027-01-08T00:00:00"/>
        <d v="2027-01-10T00:00:00"/>
        <d v="2027-01-12T00:00:00"/>
        <d v="2027-01-15T00:00:00"/>
        <d v="2027-01-20T00:00:00"/>
        <d v="2027-01-24T00:00:00"/>
        <d v="2027-01-30T00:00:00"/>
        <d v="2027-02-05T00:00:00"/>
        <d v="2027-02-08T00:00:00"/>
        <d v="2027-02-10T00:00:00"/>
        <d v="2027-02-12T00:00:00"/>
        <d v="2027-02-15T00:00:00"/>
        <d v="2027-02-20T00:00:00"/>
        <d v="2027-02-24T00:00:00"/>
        <d v="2027-02-28T00:00:00"/>
        <d v="2027-03-05T00:00:00"/>
        <d v="2027-03-08T00:00:00"/>
        <d v="2027-03-10T00:00:00"/>
        <d v="2027-03-12T00:00:00"/>
        <d v="2027-03-15T00:00:00"/>
        <d v="2027-03-20T00:00:00"/>
        <d v="2027-03-24T00:00:00"/>
        <d v="2027-03-28T00:00:00"/>
        <d v="2027-04-05T00:00:00"/>
        <d v="2027-04-08T00:00:00"/>
        <d v="2027-04-10T00:00:00"/>
        <d v="2027-04-12T00:00:00"/>
        <d v="2027-04-15T00:00:00"/>
        <d v="2027-04-20T00:00:00"/>
        <d v="2027-04-24T00:00:00"/>
        <d v="2027-04-28T00:00:00"/>
        <d v="2027-05-05T00:00:00"/>
        <d v="2027-05-08T00:00:00"/>
        <d v="2027-05-10T00:00:00"/>
        <d v="2027-05-12T00:00:00"/>
        <d v="2027-05-15T00:00:00"/>
        <d v="2027-05-20T00:00:00"/>
        <d v="2027-05-24T00:00:00"/>
        <d v="2027-05-28T00:00:00"/>
        <d v="2027-06-05T00:00:00"/>
        <d v="2027-06-06T00:00:00"/>
        <d v="2027-06-08T00:00:00"/>
        <d v="2027-06-10T00:00:00"/>
        <d v="2027-06-12T00:00:00"/>
        <d v="2027-06-15T00:00:00"/>
        <d v="2027-06-20T00:00:00"/>
        <d v="2027-06-24T00:00:00"/>
        <d v="2027-06-28T00:00:00"/>
        <d v="2027-07-05T00:00:00"/>
        <d v="2027-07-07T00:00:00"/>
        <d v="2027-07-08T00:00:00"/>
        <d v="2027-07-10T00:00:00"/>
        <d v="2027-07-12T00:00:00"/>
        <d v="2027-07-15T00:00:00"/>
        <d v="2027-07-20T00:00:00"/>
        <d v="2027-07-24T00:00:00"/>
        <d v="2027-07-28T00:00:00"/>
        <d v="2027-08-05T00:00:00"/>
        <d v="2027-08-08T00:00:00"/>
        <d v="2027-08-10T00:00:00"/>
        <d v="2027-08-12T00:00:00"/>
        <d v="2027-08-15T00:00:00"/>
        <d v="2027-08-20T00:00:00"/>
        <d v="2027-08-24T00:00:00"/>
        <d v="2027-08-28T00:00:00"/>
        <d v="2027-09-05T00:00:00"/>
        <d v="2027-09-09T00:00:00"/>
        <d v="2027-09-10T00:00:00"/>
        <d v="2027-09-12T00:00:00"/>
        <d v="2027-09-15T00:00:00"/>
        <d v="2027-09-20T00:00:00"/>
        <d v="2027-09-24T00:00:00"/>
        <d v="2027-09-28T00:00:00"/>
        <d v="2027-10-05T00:00:00"/>
        <d v="2027-10-10T00:00:00"/>
        <d v="2027-10-12T00:00:00"/>
        <d v="2027-10-15T00:00:00"/>
        <d v="2027-10-20T00:00:00"/>
        <d v="2027-10-24T00:00:00"/>
        <d v="2027-10-28T00:00:00"/>
        <d v="2027-11-05T00:00:00"/>
        <d v="2027-11-10T00:00:00"/>
        <d v="2027-11-11T00:00:00"/>
        <d v="2027-11-12T00:00:00"/>
        <d v="2027-11-15T00:00:00"/>
        <d v="2027-11-20T00:00:00"/>
        <d v="2027-11-24T00:00:00"/>
        <d v="2027-11-28T00:00:00"/>
        <d v="2027-12-05T00:00:00"/>
        <d v="2027-12-10T00:00:00"/>
        <d v="2027-12-12T00:00:00"/>
        <d v="2027-12-15T00:00:00"/>
        <d v="2027-12-20T00:00:00"/>
        <d v="2027-12-24T00:00:00"/>
        <d v="2027-12-28T00:00:00"/>
        <d v="2028-01-05T00:00:00"/>
        <d v="2028-01-15T00:00:00"/>
        <d v="2028-02-05T00:00:00"/>
        <d v="2028-02-15T00:00:00"/>
        <d v="2028-03-05T00:00:00"/>
        <d v="2028-03-15T00:00:00"/>
        <d v="2028-04-05T00:00:00"/>
        <d v="2028-04-15T00:00:00"/>
        <d v="2028-05-05T00:00:00"/>
        <d v="2028-05-15T00:00:00"/>
        <d v="2028-06-05T00:00:00"/>
        <d v="2028-06-15T00:00:00"/>
        <d v="2028-07-05T00:00:00"/>
        <d v="2028-07-15T00:00:00"/>
        <d v="2028-08-05T00:00:00"/>
        <d v="2028-08-15T00:00:00"/>
        <d v="2028-09-05T00:00:00"/>
        <d v="2028-09-15T00:00:00"/>
        <d v="2028-10-05T00:00:00"/>
        <d v="2028-10-15T00:00:00"/>
        <d v="2028-11-05T00:00:00"/>
        <d v="2028-11-15T00:00:00"/>
        <d v="2028-12-05T00:00:00"/>
        <d v="2028-12-15T00:00:00"/>
        <d v="2029-01-05T00:00:00"/>
        <d v="2029-01-15T00:00:00"/>
        <d v="2029-02-05T00:00:00"/>
        <d v="2029-02-15T00:00:00"/>
        <d v="2029-03-05T00:00:00"/>
        <d v="2029-03-15T00:00:00"/>
        <d v="2029-04-05T00:00:00"/>
        <d v="2029-04-15T00:00:00"/>
        <d v="2029-05-05T00:00:00"/>
        <d v="2029-05-15T00:00:00"/>
        <d v="2029-06-05T00:00:00"/>
        <d v="2029-06-15T00:00:00"/>
        <d v="2029-07-05T00:00:00"/>
        <d v="2029-07-15T00:00:00"/>
        <d v="2029-08-05T00:00:00"/>
        <d v="2029-08-15T00:00:00"/>
        <d v="2029-09-05T00:00:00"/>
        <d v="2029-09-15T00:00:00"/>
        <d v="2029-10-05T00:00:00"/>
        <d v="2029-10-15T00:00:00"/>
        <d v="2029-11-05T00:00:00"/>
        <d v="2029-11-15T00:00:00"/>
        <d v="2029-12-05T00:00:00"/>
        <d v="2029-12-15T00:00:00"/>
        <d v="2026-10-26T00:00:00"/>
        <d v="2026-10-27T00:00:00"/>
      </sharedItems>
      <fieldGroup par="22"/>
    </cacheField>
    <cacheField name="DESCRIÇÃO" numFmtId="0">
      <sharedItems containsBlank="1" count="35">
        <s v="GARE11"/>
        <s v="MXRF11"/>
        <s v="KNSC11"/>
        <s v="SAPR4"/>
        <s v="ITSA3"/>
        <s v="SBSP3"/>
        <s v="BBAS3"/>
        <s v="BBSE3"/>
        <s v="EQTL3"/>
        <s v="LoyaltyCom"/>
        <s v="Fatec-SP"/>
        <s v="Empréstimo"/>
        <s v="Construtora Nortis"/>
        <s v="Banco do Brasil"/>
        <m/>
        <s v="Mercado Livre"/>
        <s v="Capital de Giro"/>
        <s v="Sabesp"/>
        <s v="Cia Manah"/>
        <s v="Youtube"/>
        <s v="Vivo"/>
        <s v="Enel"/>
        <s v="Contabilizei"/>
        <s v="Caixa Econômica Federal"/>
        <s v="DAS/DARF"/>
        <s v="Aluguel"/>
        <s v="Tia Mônica"/>
        <s v="Condominio"/>
        <s v="XPLG11"/>
        <s v="HGLG11"/>
        <s v="KNRI11"/>
        <s v="BTLG11"/>
        <s v="XPML11"/>
        <s v="KNCA11"/>
        <s v="KNCR11"/>
      </sharedItems>
    </cacheField>
    <cacheField name="MOEDA" numFmtId="0">
      <sharedItems containsMixedTypes="1" containsNumber="1" containsInteger="1" minValue="0" maxValue="0"/>
    </cacheField>
    <cacheField name="ATIVO" numFmtId="0">
      <sharedItems count="25">
        <s v="FIIs"/>
        <s v="Ações"/>
        <s v="Salário"/>
        <s v="Bolsa Iniciação Científica"/>
        <s v="Empréstimo Francisca 3/3"/>
        <s v="Emprestimo Linik 3/4"/>
        <s v="Entrada AP"/>
        <s v="Cartão de Crédito"/>
        <s v="Emprestimo 1/3"/>
        <s v="Pascoal"/>
        <s v="Agua"/>
        <s v="Ballet e Ginastica"/>
        <s v="Youtube Music"/>
        <s v="Movel"/>
        <s v="Fibra"/>
        <s v="Energia"/>
        <s v="Impostos"/>
        <s v="Evolução de obras"/>
        <s v="Moradia"/>
        <s v="Cuidadora"/>
        <s v="Emprestimo Linik 4/4"/>
        <s v="Emprestimo 2/3"/>
        <s v="Compra de produtos"/>
        <s v="Emprestimo 3/3"/>
        <s v="Financiamento"/>
      </sharedItems>
    </cacheField>
    <cacheField name="QUANTIDADE" numFmtId="0">
      <sharedItems containsString="0" containsBlank="1" containsNumber="1" containsInteger="1" minValue="1" maxValue="5"/>
    </cacheField>
    <cacheField name="PREÇO" numFmtId="44">
      <sharedItems containsString="0" containsBlank="1" containsNumber="1" minValue="6.75" maxValue="8000"/>
    </cacheField>
    <cacheField name="CORRETORA/BANCO" numFmtId="0">
      <sharedItems/>
    </cacheField>
    <cacheField name="VALOR _x000a_TOTAL" numFmtId="44">
      <sharedItems containsSemiMixedTypes="0" containsString="0" containsNumber="1" minValue="0" maxValue="8000"/>
    </cacheField>
    <cacheField name="FEITO?" numFmtId="0">
      <sharedItems count="2">
        <s v="SIM"/>
        <s v="NÃO"/>
      </sharedItems>
    </cacheField>
    <cacheField name="Mês" numFmtId="0">
      <sharedItems containsSemiMixedTypes="0" containsString="0" containsNumber="1" containsInteger="1" minValue="1" maxValue="12"/>
    </cacheField>
    <cacheField name="Ano" numFmtId="0">
      <sharedItems containsSemiMixedTypes="0" containsString="0" containsNumber="1" containsInteger="1" minValue="2026" maxValue="2029" count="4">
        <n v="2026"/>
        <n v="2027"/>
        <n v="2028"/>
        <n v="2029"/>
      </sharedItems>
    </cacheField>
    <cacheField name="Dia" numFmtId="0">
      <sharedItems containsSemiMixedTypes="0" containsString="0" containsNumber="1" containsInteger="1" minValue="5" maxValue="30"/>
    </cacheField>
    <cacheField name="PREÇO MÉDIO PONDERADO" numFmtId="0">
      <sharedItems containsMixedTypes="1" containsNumber="1" minValue="7.2909999999999995" maxValue="7801.7948717948721"/>
    </cacheField>
    <cacheField name="VALOR TOTAL PONDERADO" numFmtId="0">
      <sharedItems containsMixedTypes="1" containsNumber="1" minValue="7.2909999999999995" maxValue="7801.7948717948721"/>
    </cacheField>
    <cacheField name="PREÇO MERCADO" numFmtId="44">
      <sharedItems containsMixedTypes="1" containsNumber="1" minValue="6.72" maxValue="152.63999999999999"/>
    </cacheField>
    <cacheField name="VALOR TOTAL MERCADO" numFmtId="44">
      <sharedItems containsMixedTypes="1" containsNumber="1" minValue="0" maxValue="86.75"/>
    </cacheField>
    <cacheField name="GANHO/PERDA" numFmtId="44">
      <sharedItems containsMixedTypes="1" containsNumber="1" minValue="-5.3133333333333326" maxValue="1.75"/>
    </cacheField>
    <cacheField name="VARIAÇÃO (%)" numFmtId="44">
      <sharedItems containsMixedTypes="1" containsNumber="1" minValue="-4.4622000000000002E-2" maxValue="2.0091999999999999E-2"/>
    </cacheField>
    <cacheField name="VALORIZAÇÃO (%)" numFmtId="10">
      <sharedItems containsMixedTypes="1" containsNumber="1" minValue="-0.13005874673629242" maxValue="4.1896097677759155E-2"/>
    </cacheField>
    <cacheField name="Campo1" numFmtId="0" formula=" ('VALOR TOTAL MERCADO'-'VALOR _x000a_TOTAL')/'VALOR _x000a_TOTAL'" databaseField="0"/>
    <cacheField name="Dias (DATA)" numFmtId="0" databaseField="0">
      <fieldGroup base="1">
        <rangePr groupBy="days" startDate="2026-10-07T00:00:00" endDate="2029-12-16T00:00:00"/>
        <groupItems count="368">
          <s v="&lt;07/10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6/12/2029"/>
        </groupItems>
      </fieldGroup>
    </cacheField>
    <cacheField name="Meses (DATA)" numFmtId="0" databaseField="0">
      <fieldGroup base="1">
        <rangePr groupBy="months" startDate="2026-10-07T00:00:00" endDate="2029-12-16T00:00:00"/>
        <groupItems count="14">
          <s v="&lt;07/10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6/12/2029"/>
        </groupItems>
      </fieldGroup>
    </cacheField>
    <cacheField name="Campo2" numFmtId="0" formula="'VALOR TOTAL MERCADO'-'VALOR _x000a_TOTAL'" databaseField="0"/>
    <cacheField name="Campo3" numFmtId="0" formula="'VALOR TOTAL MERCADO'-'VALOR _x000a_TOTAL'" databaseField="0"/>
    <cacheField name="Campo4" numFmtId="0" formula=" ('PREÇO MERCADO'-PREÇO)*QUANTIDADE" databaseField="0"/>
    <cacheField name="Campo5" numFmtId="0" formula=" ('PREÇO MERCADO'-PREÇO)*QUANTIDADE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9">
  <r>
    <x v="0"/>
    <x v="0"/>
    <x v="0"/>
    <s v="BRL"/>
    <x v="0"/>
    <n v="1"/>
    <n v="8.74"/>
    <s v="Investimentos BB"/>
    <n v="8.74"/>
    <x v="0"/>
    <n v="10"/>
    <x v="0"/>
    <n v="7"/>
    <n v="8.472999999999999"/>
    <n v="8.472999999999999"/>
    <n v="8.35"/>
    <n v="8.35"/>
    <n v="-0.12299999999999933"/>
    <n v="-4.4622000000000002E-2"/>
    <n v="-1.4516700106219679E-2"/>
  </r>
  <r>
    <x v="0"/>
    <x v="0"/>
    <x v="1"/>
    <s v="BRL"/>
    <x v="0"/>
    <n v="1"/>
    <n v="9.3800000000000008"/>
    <s v="Investimentos BB"/>
    <n v="9.3800000000000008"/>
    <x v="0"/>
    <n v="10"/>
    <x v="0"/>
    <n v="7"/>
    <n v="9.1778571428571443"/>
    <n v="9.1778571428571443"/>
    <n v="9.01"/>
    <n v="9.01"/>
    <n v="-0.16785714285714448"/>
    <n v="-1.0976999999999999E-2"/>
    <n v="-1.8289361039769806E-2"/>
  </r>
  <r>
    <x v="0"/>
    <x v="0"/>
    <x v="1"/>
    <s v="BRL"/>
    <x v="0"/>
    <n v="1"/>
    <n v="9.44"/>
    <s v="Investimentos BB"/>
    <n v="9.44"/>
    <x v="0"/>
    <n v="10"/>
    <x v="0"/>
    <n v="7"/>
    <n v="9.1778571428571443"/>
    <n v="9.1778571428571443"/>
    <n v="9.01"/>
    <n v="9.01"/>
    <n v="-0.16785714285714448"/>
    <n v="-1.0976999999999999E-2"/>
    <n v="-1.8289361039769806E-2"/>
  </r>
  <r>
    <x v="0"/>
    <x v="1"/>
    <x v="2"/>
    <s v="BRL"/>
    <x v="0"/>
    <n v="3"/>
    <n v="9.07"/>
    <s v="Investimentos BB"/>
    <n v="27.21"/>
    <x v="0"/>
    <n v="10"/>
    <x v="0"/>
    <n v="14"/>
    <n v="8.98"/>
    <n v="26.94"/>
    <n v="8.91"/>
    <n v="26.73"/>
    <n v="-0.21000000000000085"/>
    <n v="-7.7949999999999998E-3"/>
    <n v="-7.7951002227171808E-3"/>
  </r>
  <r>
    <x v="0"/>
    <x v="1"/>
    <x v="1"/>
    <s v="BRL"/>
    <x v="0"/>
    <n v="3"/>
    <n v="9.32"/>
    <s v="Investimentos BB"/>
    <n v="27.96"/>
    <x v="0"/>
    <n v="10"/>
    <x v="0"/>
    <n v="14"/>
    <n v="9.1778571428571443"/>
    <n v="27.533571428571435"/>
    <n v="9.01"/>
    <n v="27.03"/>
    <n v="-0.50357142857143344"/>
    <n v="-1.0976999999999999E-2"/>
    <n v="-1.8289361039769806E-2"/>
  </r>
  <r>
    <x v="0"/>
    <x v="1"/>
    <x v="0"/>
    <s v="BRL"/>
    <x v="0"/>
    <n v="2"/>
    <n v="8.59"/>
    <s v="Investimentos BB"/>
    <n v="17.18"/>
    <x v="0"/>
    <n v="10"/>
    <x v="0"/>
    <n v="14"/>
    <n v="8.472999999999999"/>
    <n v="16.945999999999998"/>
    <n v="8.35"/>
    <n v="16.7"/>
    <n v="-0.24599999999999866"/>
    <n v="-4.4622000000000002E-2"/>
    <n v="-1.4516700106219679E-2"/>
  </r>
  <r>
    <x v="0"/>
    <x v="1"/>
    <x v="3"/>
    <s v="BRL"/>
    <x v="1"/>
    <n v="2"/>
    <n v="7.84"/>
    <s v="Investimentos BB"/>
    <n v="15.68"/>
    <x v="0"/>
    <n v="10"/>
    <x v="0"/>
    <n v="14"/>
    <n v="7.2909999999999995"/>
    <n v="14.581999999999999"/>
    <n v="6.72"/>
    <n v="13.44"/>
    <n v="-1.1419999999999995"/>
    <n v="-1.1765000000000001E-2"/>
    <n v="-7.8315731724043311E-2"/>
  </r>
  <r>
    <x v="0"/>
    <x v="2"/>
    <x v="0"/>
    <s v="BRL"/>
    <x v="0"/>
    <n v="2"/>
    <n v="8.68"/>
    <s v="Investimentos BB"/>
    <n v="17.36"/>
    <x v="0"/>
    <n v="10"/>
    <x v="0"/>
    <n v="19"/>
    <n v="8.472999999999999"/>
    <n v="16.945999999999998"/>
    <n v="8.35"/>
    <n v="16.7"/>
    <n v="-0.24599999999999866"/>
    <n v="-4.4622000000000002E-2"/>
    <n v="-1.4516700106219679E-2"/>
  </r>
  <r>
    <x v="0"/>
    <x v="2"/>
    <x v="2"/>
    <s v="BRL"/>
    <x v="0"/>
    <n v="2"/>
    <n v="9.16"/>
    <s v="Investimentos BB"/>
    <n v="18.32"/>
    <x v="0"/>
    <n v="10"/>
    <x v="0"/>
    <n v="19"/>
    <n v="8.98"/>
    <n v="17.96"/>
    <n v="8.91"/>
    <n v="17.82"/>
    <n v="-0.14000000000000057"/>
    <n v="-7.7949999999999998E-3"/>
    <n v="-7.7951002227171808E-3"/>
  </r>
  <r>
    <x v="0"/>
    <x v="2"/>
    <x v="1"/>
    <s v="BRL"/>
    <x v="0"/>
    <n v="2"/>
    <n v="9.39"/>
    <s v="Investimentos BB"/>
    <n v="18.78"/>
    <x v="0"/>
    <n v="10"/>
    <x v="0"/>
    <n v="19"/>
    <n v="9.1778571428571443"/>
    <n v="18.355714285714289"/>
    <n v="9.01"/>
    <n v="18.02"/>
    <n v="-0.33571428571428896"/>
    <n v="-1.0976999999999999E-2"/>
    <n v="-1.8289361039769806E-2"/>
  </r>
  <r>
    <x v="0"/>
    <x v="2"/>
    <x v="3"/>
    <s v="BRL"/>
    <x v="1"/>
    <n v="3"/>
    <n v="7.75"/>
    <s v="Investimentos BB"/>
    <n v="23.25"/>
    <x v="0"/>
    <n v="10"/>
    <x v="0"/>
    <n v="19"/>
    <n v="7.2909999999999995"/>
    <n v="21.872999999999998"/>
    <n v="6.72"/>
    <n v="20.16"/>
    <n v="-1.7129999999999974"/>
    <n v="-1.1765000000000001E-2"/>
    <n v="-7.8315731724043228E-2"/>
  </r>
  <r>
    <x v="0"/>
    <x v="2"/>
    <x v="4"/>
    <s v="BRL"/>
    <x v="1"/>
    <n v="1"/>
    <n v="15.42"/>
    <s v="Investimentos BB"/>
    <n v="15.42"/>
    <x v="0"/>
    <n v="10"/>
    <x v="0"/>
    <n v="19"/>
    <n v="13.9275"/>
    <n v="13.9275"/>
    <n v="13.9"/>
    <n v="13.9"/>
    <n v="-2.7499999999999858E-2"/>
    <n v="-1.4184E-2"/>
    <n v="-1.9745108598097187E-3"/>
  </r>
  <r>
    <x v="0"/>
    <x v="3"/>
    <x v="5"/>
    <s v="BRL"/>
    <x v="1"/>
    <n v="1"/>
    <n v="32.61"/>
    <s v="Investimentos BB"/>
    <n v="32.61"/>
    <x v="0"/>
    <n v="10"/>
    <x v="0"/>
    <n v="20"/>
    <n v="29.335000000000001"/>
    <n v="29.335000000000001"/>
    <n v="25.62"/>
    <n v="25.62"/>
    <n v="-3.7149999999999999"/>
    <n v="1.3849999999999999E-2"/>
    <n v="-0.12664053178796658"/>
  </r>
  <r>
    <x v="0"/>
    <x v="3"/>
    <x v="6"/>
    <s v="BRL"/>
    <x v="1"/>
    <n v="1"/>
    <n v="24.04"/>
    <s v="Investimentos BB"/>
    <n v="24.04"/>
    <x v="0"/>
    <n v="10"/>
    <x v="0"/>
    <n v="20"/>
    <n v="19.0425"/>
    <n v="19.0425"/>
    <n v="17.760000000000002"/>
    <n v="17.760000000000002"/>
    <n v="-1.2824999999999989"/>
    <n v="1.66E-2"/>
    <n v="-6.7349350137849484E-2"/>
  </r>
  <r>
    <x v="0"/>
    <x v="3"/>
    <x v="7"/>
    <s v="BRL"/>
    <x v="1"/>
    <n v="1"/>
    <n v="41.77"/>
    <s v="Investimentos BB"/>
    <n v="41.77"/>
    <x v="0"/>
    <n v="10"/>
    <x v="0"/>
    <n v="20"/>
    <n v="41.77"/>
    <n v="41.77"/>
    <n v="43.52"/>
    <n v="43.52"/>
    <n v="1.75"/>
    <n v="8.8090000000000009E-3"/>
    <n v="4.1896097677759155E-2"/>
  </r>
  <r>
    <x v="0"/>
    <x v="3"/>
    <x v="8"/>
    <s v="BRL"/>
    <x v="1"/>
    <n v="1"/>
    <n v="49.5"/>
    <s v="Investimentos BB"/>
    <n v="49.5"/>
    <x v="0"/>
    <n v="10"/>
    <x v="0"/>
    <n v="20"/>
    <n v="40.853333333333332"/>
    <n v="40.853333333333332"/>
    <n v="35.54"/>
    <n v="35.54"/>
    <n v="-5.3133333333333326"/>
    <n v="2.0091999999999999E-2"/>
    <n v="-0.13005874673629242"/>
  </r>
  <r>
    <x v="1"/>
    <x v="4"/>
    <x v="9"/>
    <s v="BRL"/>
    <x v="2"/>
    <n v="1"/>
    <n v="8000"/>
    <s v="Banco do Brasil"/>
    <n v="8000"/>
    <x v="1"/>
    <n v="11"/>
    <x v="0"/>
    <n v="5"/>
    <n v="7801.7948717948721"/>
    <n v="7801.7948717948721"/>
    <s v=""/>
    <s v=""/>
    <s v=""/>
    <s v=""/>
    <s v=""/>
  </r>
  <r>
    <x v="1"/>
    <x v="4"/>
    <x v="10"/>
    <s v="BRL"/>
    <x v="3"/>
    <n v="1"/>
    <n v="1400"/>
    <s v="Banco do Brasil"/>
    <n v="1400"/>
    <x v="1"/>
    <n v="11"/>
    <x v="0"/>
    <n v="5"/>
    <n v="770"/>
    <n v="770"/>
    <s v=""/>
    <s v=""/>
    <s v=""/>
    <s v=""/>
    <s v=""/>
  </r>
  <r>
    <x v="2"/>
    <x v="4"/>
    <x v="11"/>
    <s v="BRL"/>
    <x v="4"/>
    <n v="1"/>
    <n v="833"/>
    <s v="Banco do Brasil"/>
    <n v="833"/>
    <x v="1"/>
    <n v="11"/>
    <x v="0"/>
    <n v="5"/>
    <n v="944.33333333333337"/>
    <n v="944.33333333333337"/>
    <s v=""/>
    <s v=""/>
    <s v=""/>
    <s v=""/>
    <s v=""/>
  </r>
  <r>
    <x v="2"/>
    <x v="4"/>
    <x v="11"/>
    <s v="BRL"/>
    <x v="5"/>
    <n v="1"/>
    <n v="1000"/>
    <s v="Banco do Brasil"/>
    <n v="1000"/>
    <x v="1"/>
    <n v="11"/>
    <x v="0"/>
    <n v="5"/>
    <n v="944.33333333333337"/>
    <n v="944.33333333333337"/>
    <s v=""/>
    <s v=""/>
    <s v=""/>
    <s v=""/>
    <s v=""/>
  </r>
  <r>
    <x v="2"/>
    <x v="4"/>
    <x v="12"/>
    <s v="BRL"/>
    <x v="6"/>
    <n v="1"/>
    <n v="205"/>
    <s v="Banco do Brasil"/>
    <n v="205"/>
    <x v="1"/>
    <n v="11"/>
    <x v="0"/>
    <n v="5"/>
    <n v="205"/>
    <n v="205"/>
    <s v=""/>
    <s v=""/>
    <s v=""/>
    <s v=""/>
    <s v=""/>
  </r>
  <r>
    <x v="2"/>
    <x v="4"/>
    <x v="13"/>
    <s v="BRL"/>
    <x v="7"/>
    <n v="1"/>
    <n v="1150"/>
    <s v="Banco do Brasil"/>
    <n v="1150"/>
    <x v="1"/>
    <n v="11"/>
    <x v="0"/>
    <n v="5"/>
    <n v="515.93333333333328"/>
    <n v="515.93333333333328"/>
    <s v=""/>
    <s v=""/>
    <s v=""/>
    <s v=""/>
    <s v=""/>
  </r>
  <r>
    <x v="0"/>
    <x v="4"/>
    <x v="14"/>
    <n v="0"/>
    <x v="1"/>
    <n v="1"/>
    <n v="2000"/>
    <s v="Investimentos BB"/>
    <n v="2000"/>
    <x v="1"/>
    <n v="11"/>
    <x v="0"/>
    <n v="5"/>
    <e v="#DIV/0!"/>
    <e v="#DIV/0!"/>
    <s v=""/>
    <s v=""/>
    <s v=""/>
    <s v=""/>
    <s v=""/>
  </r>
  <r>
    <x v="2"/>
    <x v="5"/>
    <x v="15"/>
    <s v="BRL"/>
    <x v="8"/>
    <n v="1"/>
    <n v="650"/>
    <s v="Banco do Brasil"/>
    <n v="650"/>
    <x v="1"/>
    <n v="11"/>
    <x v="0"/>
    <n v="6"/>
    <n v="650"/>
    <n v="650"/>
    <s v=""/>
    <s v=""/>
    <s v=""/>
    <s v=""/>
    <s v=""/>
  </r>
  <r>
    <x v="1"/>
    <x v="5"/>
    <x v="16"/>
    <s v="BRL"/>
    <x v="9"/>
    <n v="1"/>
    <n v="4710"/>
    <s v="Banco do Brasil"/>
    <n v="4710"/>
    <x v="1"/>
    <n v="11"/>
    <x v="0"/>
    <n v="6"/>
    <n v="4710"/>
    <n v="4710"/>
    <s v=""/>
    <s v=""/>
    <s v=""/>
    <s v=""/>
    <s v=""/>
  </r>
  <r>
    <x v="1"/>
    <x v="5"/>
    <x v="16"/>
    <s v="BRL"/>
    <x v="9"/>
    <n v="1"/>
    <n v="4710"/>
    <s v="Banco do Brasil"/>
    <n v="4710"/>
    <x v="1"/>
    <n v="11"/>
    <x v="0"/>
    <n v="6"/>
    <n v="4710"/>
    <n v="4710"/>
    <s v=""/>
    <s v=""/>
    <s v=""/>
    <s v=""/>
    <s v=""/>
  </r>
  <r>
    <x v="2"/>
    <x v="6"/>
    <x v="17"/>
    <s v="BRL"/>
    <x v="10"/>
    <n v="1"/>
    <n v="25"/>
    <s v="Banco do Brasil"/>
    <n v="25"/>
    <x v="1"/>
    <n v="11"/>
    <x v="0"/>
    <n v="8"/>
    <n v="25"/>
    <n v="25"/>
    <s v=""/>
    <s v=""/>
    <s v=""/>
    <s v=""/>
    <s v=""/>
  </r>
  <r>
    <x v="2"/>
    <x v="7"/>
    <x v="18"/>
    <s v="BRL"/>
    <x v="11"/>
    <n v="1"/>
    <n v="95"/>
    <s v="Banco do Brasil"/>
    <n v="95"/>
    <x v="1"/>
    <n v="11"/>
    <x v="0"/>
    <n v="10"/>
    <n v="95"/>
    <n v="95"/>
    <s v=""/>
    <s v=""/>
    <s v=""/>
    <s v=""/>
    <s v=""/>
  </r>
  <r>
    <x v="2"/>
    <x v="8"/>
    <x v="19"/>
    <s v="BRL"/>
    <x v="12"/>
    <n v="1"/>
    <n v="16.899999999999999"/>
    <s v="Banco do Brasil"/>
    <n v="16.899999999999999"/>
    <x v="1"/>
    <n v="11"/>
    <x v="0"/>
    <n v="12"/>
    <n v="137.33453714285722"/>
    <n v="137.33453714285722"/>
    <s v=""/>
    <s v=""/>
    <s v=""/>
    <s v=""/>
    <s v=""/>
  </r>
  <r>
    <x v="2"/>
    <x v="9"/>
    <x v="20"/>
    <s v="BRL"/>
    <x v="13"/>
    <n v="1"/>
    <n v="39.9"/>
    <s v="Banco do Brasil"/>
    <n v="39.9"/>
    <x v="1"/>
    <n v="11"/>
    <x v="0"/>
    <n v="15"/>
    <n v="59.90000000000002"/>
    <n v="59.90000000000002"/>
    <s v=""/>
    <s v=""/>
    <s v=""/>
    <s v=""/>
    <s v=""/>
  </r>
  <r>
    <x v="2"/>
    <x v="9"/>
    <x v="20"/>
    <s v="BRL"/>
    <x v="14"/>
    <n v="1"/>
    <n v="79.900000000000006"/>
    <s v="Banco do Brasil"/>
    <n v="79.900000000000006"/>
    <x v="1"/>
    <n v="11"/>
    <x v="0"/>
    <n v="15"/>
    <n v="59.90000000000002"/>
    <n v="59.90000000000002"/>
    <s v=""/>
    <s v=""/>
    <s v=""/>
    <s v=""/>
    <s v=""/>
  </r>
  <r>
    <x v="2"/>
    <x v="9"/>
    <x v="21"/>
    <s v="BRL"/>
    <x v="15"/>
    <n v="1"/>
    <n v="110"/>
    <s v="Banco do Brasil"/>
    <n v="110"/>
    <x v="1"/>
    <n v="11"/>
    <x v="0"/>
    <n v="15"/>
    <n v="110"/>
    <n v="110"/>
    <s v=""/>
    <s v=""/>
    <s v=""/>
    <s v=""/>
    <s v=""/>
  </r>
  <r>
    <x v="2"/>
    <x v="9"/>
    <x v="22"/>
    <s v="BRL"/>
    <x v="16"/>
    <n v="1"/>
    <n v="500"/>
    <s v="Banco do Brasil"/>
    <n v="500"/>
    <x v="1"/>
    <n v="11"/>
    <x v="0"/>
    <n v="15"/>
    <n v="500"/>
    <n v="500"/>
    <s v=""/>
    <s v=""/>
    <s v=""/>
    <s v=""/>
    <s v=""/>
  </r>
  <r>
    <x v="2"/>
    <x v="9"/>
    <x v="23"/>
    <s v="BRL"/>
    <x v="17"/>
    <n v="1"/>
    <n v="742.50836000000004"/>
    <s v="Banco do Brasil"/>
    <n v="742.50836000000004"/>
    <x v="1"/>
    <n v="11"/>
    <x v="0"/>
    <n v="15"/>
    <n v="1629.9930261538464"/>
    <n v="1629.9930261538464"/>
    <s v=""/>
    <s v=""/>
    <s v=""/>
    <s v=""/>
    <s v=""/>
  </r>
  <r>
    <x v="2"/>
    <x v="10"/>
    <x v="24"/>
    <s v="BRL"/>
    <x v="16"/>
    <n v="1"/>
    <n v="87"/>
    <s v="Banco do Brasil"/>
    <n v="87"/>
    <x v="1"/>
    <n v="11"/>
    <x v="0"/>
    <n v="20"/>
    <n v="93.857142857142861"/>
    <n v="93.857142857142861"/>
    <s v=""/>
    <s v=""/>
    <s v=""/>
    <s v=""/>
    <s v=""/>
  </r>
  <r>
    <x v="2"/>
    <x v="11"/>
    <x v="25"/>
    <s v="BRL"/>
    <x v="18"/>
    <n v="1"/>
    <n v="650"/>
    <s v="Banco do Brasil"/>
    <n v="650"/>
    <x v="1"/>
    <n v="11"/>
    <x v="0"/>
    <n v="24"/>
    <n v="650"/>
    <n v="650"/>
    <s v=""/>
    <s v=""/>
    <s v=""/>
    <s v=""/>
    <s v=""/>
  </r>
  <r>
    <x v="2"/>
    <x v="12"/>
    <x v="26"/>
    <s v="BRL"/>
    <x v="19"/>
    <n v="1"/>
    <n v="650"/>
    <s v="Banco do Brasil"/>
    <n v="650"/>
    <x v="1"/>
    <n v="11"/>
    <x v="0"/>
    <n v="30"/>
    <n v="650"/>
    <n v="650"/>
    <s v=""/>
    <s v=""/>
    <s v=""/>
    <s v=""/>
    <s v=""/>
  </r>
  <r>
    <x v="2"/>
    <x v="13"/>
    <x v="23"/>
    <s v="BRL"/>
    <x v="7"/>
    <n v="1"/>
    <n v="89"/>
    <s v="Banco do Brasil"/>
    <n v="89"/>
    <x v="1"/>
    <n v="12"/>
    <x v="0"/>
    <n v="5"/>
    <n v="1629.9930261538464"/>
    <n v="1629.9930261538464"/>
    <s v=""/>
    <s v=""/>
    <s v=""/>
    <s v=""/>
    <s v=""/>
  </r>
  <r>
    <x v="1"/>
    <x v="13"/>
    <x v="9"/>
    <s v="BRL"/>
    <x v="2"/>
    <n v="1"/>
    <n v="8000"/>
    <s v="Banco do Brasil"/>
    <n v="8000"/>
    <x v="1"/>
    <n v="12"/>
    <x v="0"/>
    <n v="5"/>
    <n v="7801.7948717948721"/>
    <n v="7801.7948717948721"/>
    <s v=""/>
    <s v=""/>
    <s v=""/>
    <s v=""/>
    <s v=""/>
  </r>
  <r>
    <x v="1"/>
    <x v="13"/>
    <x v="10"/>
    <s v="BRL"/>
    <x v="3"/>
    <n v="1"/>
    <n v="700"/>
    <s v="Banco do Brasil"/>
    <n v="700"/>
    <x v="1"/>
    <n v="12"/>
    <x v="0"/>
    <n v="5"/>
    <n v="770"/>
    <n v="770"/>
    <s v=""/>
    <s v=""/>
    <s v=""/>
    <s v=""/>
    <s v=""/>
  </r>
  <r>
    <x v="2"/>
    <x v="13"/>
    <x v="11"/>
    <s v="BRL"/>
    <x v="20"/>
    <n v="1"/>
    <n v="1000"/>
    <s v="Banco do Brasil"/>
    <n v="1000"/>
    <x v="1"/>
    <n v="12"/>
    <x v="0"/>
    <n v="5"/>
    <n v="944.33333333333337"/>
    <n v="944.33333333333337"/>
    <s v=""/>
    <s v=""/>
    <s v=""/>
    <s v=""/>
    <s v=""/>
  </r>
  <r>
    <x v="2"/>
    <x v="13"/>
    <x v="12"/>
    <s v="BRL"/>
    <x v="6"/>
    <n v="1"/>
    <n v="205"/>
    <s v="Banco do Brasil"/>
    <n v="205"/>
    <x v="1"/>
    <n v="12"/>
    <x v="0"/>
    <n v="5"/>
    <n v="205"/>
    <n v="205"/>
    <s v=""/>
    <s v=""/>
    <s v=""/>
    <s v=""/>
    <s v=""/>
  </r>
  <r>
    <x v="2"/>
    <x v="13"/>
    <x v="13"/>
    <s v="BRL"/>
    <x v="7"/>
    <n v="1"/>
    <n v="500"/>
    <s v="Banco do Brasil"/>
    <n v="500"/>
    <x v="1"/>
    <n v="12"/>
    <x v="0"/>
    <n v="5"/>
    <n v="515.93333333333328"/>
    <n v="515.93333333333328"/>
    <s v=""/>
    <s v=""/>
    <s v=""/>
    <s v=""/>
    <s v=""/>
  </r>
  <r>
    <x v="0"/>
    <x v="13"/>
    <x v="14"/>
    <n v="0"/>
    <x v="1"/>
    <n v="1"/>
    <n v="2000"/>
    <s v="Investimentos BB"/>
    <n v="2000"/>
    <x v="1"/>
    <n v="12"/>
    <x v="0"/>
    <n v="5"/>
    <e v="#DIV/0!"/>
    <e v="#DIV/0!"/>
    <s v=""/>
    <s v=""/>
    <s v=""/>
    <s v=""/>
    <s v=""/>
  </r>
  <r>
    <x v="2"/>
    <x v="14"/>
    <x v="15"/>
    <s v="BRL"/>
    <x v="21"/>
    <n v="1"/>
    <n v="650"/>
    <s v="Banco do Brasil"/>
    <n v="650"/>
    <x v="1"/>
    <n v="12"/>
    <x v="0"/>
    <n v="6"/>
    <n v="650"/>
    <n v="650"/>
    <s v=""/>
    <s v=""/>
    <s v=""/>
    <s v=""/>
    <s v=""/>
  </r>
  <r>
    <x v="1"/>
    <x v="14"/>
    <x v="16"/>
    <s v="BRL"/>
    <x v="9"/>
    <n v="1"/>
    <n v="4710"/>
    <s v="Banco do Brasil"/>
    <n v="4710"/>
    <x v="1"/>
    <n v="12"/>
    <x v="0"/>
    <n v="6"/>
    <n v="4710"/>
    <n v="4710"/>
    <s v=""/>
    <s v=""/>
    <s v=""/>
    <s v=""/>
    <s v=""/>
  </r>
  <r>
    <x v="2"/>
    <x v="15"/>
    <x v="17"/>
    <s v="BRL"/>
    <x v="10"/>
    <n v="1"/>
    <n v="25"/>
    <s v="Banco do Brasil"/>
    <n v="25"/>
    <x v="1"/>
    <n v="12"/>
    <x v="0"/>
    <n v="8"/>
    <n v="25"/>
    <n v="25"/>
    <s v=""/>
    <s v=""/>
    <s v=""/>
    <s v=""/>
    <s v=""/>
  </r>
  <r>
    <x v="2"/>
    <x v="16"/>
    <x v="18"/>
    <s v="BRL"/>
    <x v="11"/>
    <n v="1"/>
    <n v="95"/>
    <s v="Banco do Brasil"/>
    <n v="95"/>
    <x v="1"/>
    <n v="12"/>
    <x v="0"/>
    <n v="10"/>
    <n v="95"/>
    <n v="95"/>
    <s v=""/>
    <s v=""/>
    <s v=""/>
    <s v=""/>
    <s v=""/>
  </r>
  <r>
    <x v="2"/>
    <x v="17"/>
    <x v="19"/>
    <s v="BRL"/>
    <x v="12"/>
    <n v="1"/>
    <n v="859.94175999999993"/>
    <s v="Banco do Brasil"/>
    <n v="859.94175999999993"/>
    <x v="1"/>
    <n v="12"/>
    <x v="0"/>
    <n v="12"/>
    <n v="137.33453714285722"/>
    <n v="137.33453714285722"/>
    <s v=""/>
    <s v=""/>
    <s v=""/>
    <s v=""/>
    <s v=""/>
  </r>
  <r>
    <x v="2"/>
    <x v="18"/>
    <x v="20"/>
    <s v="BRL"/>
    <x v="13"/>
    <n v="1"/>
    <n v="39.9"/>
    <s v="Banco do Brasil"/>
    <n v="39.9"/>
    <x v="1"/>
    <n v="12"/>
    <x v="0"/>
    <n v="15"/>
    <n v="59.90000000000002"/>
    <n v="59.90000000000002"/>
    <s v=""/>
    <s v=""/>
    <s v=""/>
    <s v=""/>
    <s v=""/>
  </r>
  <r>
    <x v="2"/>
    <x v="18"/>
    <x v="20"/>
    <s v="BRL"/>
    <x v="14"/>
    <n v="1"/>
    <n v="79.900000000000006"/>
    <s v="Banco do Brasil"/>
    <n v="79.900000000000006"/>
    <x v="1"/>
    <n v="12"/>
    <x v="0"/>
    <n v="15"/>
    <n v="59.90000000000002"/>
    <n v="59.90000000000002"/>
    <s v=""/>
    <s v=""/>
    <s v=""/>
    <s v=""/>
    <s v=""/>
  </r>
  <r>
    <x v="2"/>
    <x v="18"/>
    <x v="21"/>
    <s v="BRL"/>
    <x v="15"/>
    <n v="1"/>
    <n v="110"/>
    <s v="Banco do Brasil"/>
    <n v="110"/>
    <x v="1"/>
    <n v="12"/>
    <x v="0"/>
    <n v="15"/>
    <n v="110"/>
    <n v="110"/>
    <s v=""/>
    <s v=""/>
    <s v=""/>
    <s v=""/>
    <s v=""/>
  </r>
  <r>
    <x v="2"/>
    <x v="18"/>
    <x v="23"/>
    <s v="BRL"/>
    <x v="17"/>
    <n v="1"/>
    <n v="797.44259999999997"/>
    <s v="Banco do Brasil"/>
    <n v="797.44259999999997"/>
    <x v="1"/>
    <n v="12"/>
    <x v="0"/>
    <n v="15"/>
    <n v="1629.9930261538464"/>
    <n v="1629.9930261538464"/>
    <s v=""/>
    <s v=""/>
    <s v=""/>
    <s v=""/>
    <s v=""/>
  </r>
  <r>
    <x v="2"/>
    <x v="19"/>
    <x v="24"/>
    <s v="BRL"/>
    <x v="16"/>
    <n v="1"/>
    <n v="87"/>
    <s v="Banco do Brasil"/>
    <n v="87"/>
    <x v="1"/>
    <n v="12"/>
    <x v="0"/>
    <n v="20"/>
    <n v="93.857142857142861"/>
    <n v="93.857142857142861"/>
    <s v=""/>
    <s v=""/>
    <s v=""/>
    <s v=""/>
    <s v=""/>
  </r>
  <r>
    <x v="2"/>
    <x v="20"/>
    <x v="25"/>
    <s v="BRL"/>
    <x v="18"/>
    <n v="1"/>
    <n v="650"/>
    <s v="Banco do Brasil"/>
    <n v="650"/>
    <x v="1"/>
    <n v="12"/>
    <x v="0"/>
    <n v="24"/>
    <n v="650"/>
    <n v="650"/>
    <s v=""/>
    <s v=""/>
    <s v=""/>
    <s v=""/>
    <s v=""/>
  </r>
  <r>
    <x v="2"/>
    <x v="21"/>
    <x v="26"/>
    <s v="BRL"/>
    <x v="19"/>
    <n v="1"/>
    <n v="650"/>
    <s v="Banco do Brasil"/>
    <n v="650"/>
    <x v="1"/>
    <n v="12"/>
    <x v="0"/>
    <n v="30"/>
    <n v="650"/>
    <n v="650"/>
    <s v=""/>
    <s v=""/>
    <s v=""/>
    <s v=""/>
    <s v=""/>
  </r>
  <r>
    <x v="1"/>
    <x v="22"/>
    <x v="9"/>
    <s v="BRL"/>
    <x v="2"/>
    <n v="1"/>
    <n v="8000"/>
    <s v="Banco do Brasil"/>
    <n v="8000"/>
    <x v="1"/>
    <n v="1"/>
    <x v="1"/>
    <n v="5"/>
    <n v="7801.7948717948721"/>
    <n v="7801.7948717948721"/>
    <s v=""/>
    <s v=""/>
    <s v=""/>
    <s v=""/>
    <s v=""/>
  </r>
  <r>
    <x v="1"/>
    <x v="22"/>
    <x v="10"/>
    <s v="BRL"/>
    <x v="3"/>
    <n v="1"/>
    <n v="700"/>
    <s v="Banco do Brasil"/>
    <n v="700"/>
    <x v="1"/>
    <n v="1"/>
    <x v="1"/>
    <n v="5"/>
    <n v="770"/>
    <n v="770"/>
    <s v=""/>
    <s v=""/>
    <s v=""/>
    <s v=""/>
    <s v=""/>
  </r>
  <r>
    <x v="2"/>
    <x v="22"/>
    <x v="12"/>
    <s v="BRL"/>
    <x v="6"/>
    <n v="1"/>
    <n v="205"/>
    <s v="Banco do Brasil"/>
    <n v="205"/>
    <x v="1"/>
    <n v="1"/>
    <x v="1"/>
    <n v="5"/>
    <n v="205"/>
    <n v="205"/>
    <s v=""/>
    <s v=""/>
    <s v=""/>
    <s v=""/>
    <s v=""/>
  </r>
  <r>
    <x v="2"/>
    <x v="22"/>
    <x v="13"/>
    <s v="BRL"/>
    <x v="7"/>
    <n v="1"/>
    <n v="89"/>
    <s v="Banco do Brasil"/>
    <n v="89"/>
    <x v="1"/>
    <n v="1"/>
    <x v="1"/>
    <n v="5"/>
    <n v="515.93333333333328"/>
    <n v="515.93333333333328"/>
    <s v=""/>
    <s v=""/>
    <s v=""/>
    <s v=""/>
    <s v=""/>
  </r>
  <r>
    <x v="2"/>
    <x v="22"/>
    <x v="9"/>
    <s v="BRL"/>
    <x v="22"/>
    <n v="1"/>
    <n v="270"/>
    <s v="Banco do Brasil"/>
    <n v="270"/>
    <x v="1"/>
    <n v="1"/>
    <x v="1"/>
    <n v="5"/>
    <n v="7801.7948717948721"/>
    <n v="7801.7948717948721"/>
    <s v=""/>
    <s v=""/>
    <s v=""/>
    <s v=""/>
    <s v=""/>
  </r>
  <r>
    <x v="0"/>
    <x v="22"/>
    <x v="14"/>
    <n v="0"/>
    <x v="1"/>
    <n v="1"/>
    <n v="2500"/>
    <s v="Investimentos BB"/>
    <n v="2500"/>
    <x v="1"/>
    <n v="1"/>
    <x v="1"/>
    <n v="5"/>
    <e v="#DIV/0!"/>
    <e v="#DIV/0!"/>
    <s v=""/>
    <s v=""/>
    <s v=""/>
    <s v=""/>
    <s v=""/>
  </r>
  <r>
    <x v="2"/>
    <x v="23"/>
    <x v="15"/>
    <s v="BRL"/>
    <x v="23"/>
    <n v="1"/>
    <n v="650"/>
    <s v="Banco do Brasil"/>
    <n v="650"/>
    <x v="1"/>
    <n v="1"/>
    <x v="1"/>
    <n v="6"/>
    <n v="650"/>
    <n v="650"/>
    <s v=""/>
    <s v=""/>
    <s v=""/>
    <s v=""/>
    <s v=""/>
  </r>
  <r>
    <x v="1"/>
    <x v="23"/>
    <x v="16"/>
    <s v="BRL"/>
    <x v="9"/>
    <n v="1"/>
    <n v="4710"/>
    <s v="Banco do Brasil"/>
    <n v="4710"/>
    <x v="1"/>
    <n v="1"/>
    <x v="1"/>
    <n v="6"/>
    <n v="4710"/>
    <n v="4710"/>
    <s v=""/>
    <s v=""/>
    <s v=""/>
    <s v=""/>
    <s v=""/>
  </r>
  <r>
    <x v="2"/>
    <x v="24"/>
    <x v="17"/>
    <s v="BRL"/>
    <x v="10"/>
    <n v="1"/>
    <n v="25"/>
    <s v="Banco do Brasil"/>
    <n v="25"/>
    <x v="1"/>
    <n v="1"/>
    <x v="1"/>
    <n v="8"/>
    <n v="25"/>
    <n v="25"/>
    <s v=""/>
    <s v=""/>
    <s v=""/>
    <s v=""/>
    <s v=""/>
  </r>
  <r>
    <x v="2"/>
    <x v="25"/>
    <x v="18"/>
    <s v="BRL"/>
    <x v="11"/>
    <n v="1"/>
    <n v="95"/>
    <s v="Banco do Brasil"/>
    <n v="95"/>
    <x v="1"/>
    <n v="1"/>
    <x v="1"/>
    <n v="10"/>
    <n v="95"/>
    <n v="95"/>
    <s v=""/>
    <s v=""/>
    <s v=""/>
    <s v=""/>
    <s v=""/>
  </r>
  <r>
    <x v="2"/>
    <x v="26"/>
    <x v="19"/>
    <s v="BRL"/>
    <x v="12"/>
    <n v="1"/>
    <n v="859.94175999999993"/>
    <s v="Banco do Brasil"/>
    <n v="859.94175999999993"/>
    <x v="1"/>
    <n v="1"/>
    <x v="1"/>
    <n v="12"/>
    <n v="137.33453714285722"/>
    <n v="137.33453714285722"/>
    <s v=""/>
    <s v=""/>
    <s v=""/>
    <s v=""/>
    <s v=""/>
  </r>
  <r>
    <x v="2"/>
    <x v="27"/>
    <x v="20"/>
    <s v="BRL"/>
    <x v="13"/>
    <n v="1"/>
    <n v="39.9"/>
    <s v="Banco do Brasil"/>
    <n v="39.9"/>
    <x v="1"/>
    <n v="1"/>
    <x v="1"/>
    <n v="15"/>
    <n v="59.90000000000002"/>
    <n v="59.90000000000002"/>
    <s v=""/>
    <s v=""/>
    <s v=""/>
    <s v=""/>
    <s v=""/>
  </r>
  <r>
    <x v="2"/>
    <x v="27"/>
    <x v="20"/>
    <s v="BRL"/>
    <x v="14"/>
    <n v="1"/>
    <n v="79.900000000000006"/>
    <s v="Banco do Brasil"/>
    <n v="79.900000000000006"/>
    <x v="1"/>
    <n v="1"/>
    <x v="1"/>
    <n v="15"/>
    <n v="59.90000000000002"/>
    <n v="59.90000000000002"/>
    <s v=""/>
    <s v=""/>
    <s v=""/>
    <s v=""/>
    <s v=""/>
  </r>
  <r>
    <x v="2"/>
    <x v="27"/>
    <x v="21"/>
    <s v="BRL"/>
    <x v="15"/>
    <n v="1"/>
    <n v="110"/>
    <s v="Banco do Brasil"/>
    <n v="110"/>
    <x v="1"/>
    <n v="1"/>
    <x v="1"/>
    <n v="15"/>
    <n v="110"/>
    <n v="110"/>
    <s v=""/>
    <s v=""/>
    <s v=""/>
    <s v=""/>
    <s v=""/>
  </r>
  <r>
    <x v="2"/>
    <x v="27"/>
    <x v="23"/>
    <s v="BRL"/>
    <x v="17"/>
    <n v="1"/>
    <n v="859.94175999999993"/>
    <s v="Banco do Brasil"/>
    <n v="859.94175999999993"/>
    <x v="1"/>
    <n v="1"/>
    <x v="1"/>
    <n v="15"/>
    <n v="1629.9930261538464"/>
    <n v="1629.9930261538464"/>
    <s v=""/>
    <s v=""/>
    <s v=""/>
    <s v=""/>
    <s v=""/>
  </r>
  <r>
    <x v="2"/>
    <x v="28"/>
    <x v="24"/>
    <s v="BRL"/>
    <x v="16"/>
    <n v="1"/>
    <n v="95"/>
    <s v="Banco do Brasil"/>
    <n v="95"/>
    <x v="1"/>
    <n v="1"/>
    <x v="1"/>
    <n v="20"/>
    <n v="93.857142857142861"/>
    <n v="93.857142857142861"/>
    <s v=""/>
    <s v=""/>
    <s v=""/>
    <s v=""/>
    <s v=""/>
  </r>
  <r>
    <x v="2"/>
    <x v="29"/>
    <x v="25"/>
    <s v="BRL"/>
    <x v="18"/>
    <n v="1"/>
    <n v="650"/>
    <s v="Banco do Brasil"/>
    <n v="650"/>
    <x v="1"/>
    <n v="1"/>
    <x v="1"/>
    <n v="24"/>
    <n v="650"/>
    <n v="650"/>
    <s v=""/>
    <s v=""/>
    <s v=""/>
    <s v=""/>
    <s v=""/>
  </r>
  <r>
    <x v="2"/>
    <x v="30"/>
    <x v="26"/>
    <s v="BRL"/>
    <x v="19"/>
    <n v="1"/>
    <n v="650"/>
    <s v="Banco do Brasil"/>
    <n v="650"/>
    <x v="1"/>
    <n v="1"/>
    <x v="1"/>
    <n v="30"/>
    <n v="650"/>
    <n v="650"/>
    <s v=""/>
    <s v=""/>
    <s v=""/>
    <s v=""/>
    <s v=""/>
  </r>
  <r>
    <x v="1"/>
    <x v="31"/>
    <x v="9"/>
    <s v="BRL"/>
    <x v="2"/>
    <n v="1"/>
    <n v="8000"/>
    <s v="Banco do Brasil"/>
    <n v="8000"/>
    <x v="1"/>
    <n v="2"/>
    <x v="1"/>
    <n v="5"/>
    <n v="7801.7948717948721"/>
    <n v="7801.7948717948721"/>
    <s v=""/>
    <s v=""/>
    <s v=""/>
    <s v=""/>
    <s v=""/>
  </r>
  <r>
    <x v="1"/>
    <x v="31"/>
    <x v="10"/>
    <s v="BRL"/>
    <x v="3"/>
    <n v="1"/>
    <n v="700"/>
    <s v="Banco do Brasil"/>
    <n v="700"/>
    <x v="1"/>
    <n v="2"/>
    <x v="1"/>
    <n v="5"/>
    <n v="770"/>
    <n v="770"/>
    <s v=""/>
    <s v=""/>
    <s v=""/>
    <s v=""/>
    <s v=""/>
  </r>
  <r>
    <x v="2"/>
    <x v="31"/>
    <x v="12"/>
    <s v="BRL"/>
    <x v="6"/>
    <n v="1"/>
    <n v="205"/>
    <s v="Banco do Brasil"/>
    <n v="205"/>
    <x v="1"/>
    <n v="2"/>
    <x v="1"/>
    <n v="5"/>
    <n v="205"/>
    <n v="205"/>
    <s v=""/>
    <s v=""/>
    <s v=""/>
    <s v=""/>
    <s v=""/>
  </r>
  <r>
    <x v="2"/>
    <x v="31"/>
    <x v="13"/>
    <s v="BRL"/>
    <x v="7"/>
    <n v="1"/>
    <n v="500"/>
    <s v="Banco do Brasil"/>
    <n v="500"/>
    <x v="1"/>
    <n v="2"/>
    <x v="1"/>
    <n v="5"/>
    <n v="515.93333333333328"/>
    <n v="515.93333333333328"/>
    <s v=""/>
    <s v=""/>
    <s v=""/>
    <s v=""/>
    <s v=""/>
  </r>
  <r>
    <x v="0"/>
    <x v="31"/>
    <x v="14"/>
    <n v="0"/>
    <x v="1"/>
    <n v="1"/>
    <n v="2500"/>
    <s v="Investimentos BB"/>
    <n v="2500"/>
    <x v="1"/>
    <n v="2"/>
    <x v="1"/>
    <n v="5"/>
    <e v="#DIV/0!"/>
    <e v="#DIV/0!"/>
    <s v=""/>
    <s v=""/>
    <s v=""/>
    <s v=""/>
    <s v=""/>
  </r>
  <r>
    <x v="2"/>
    <x v="32"/>
    <x v="17"/>
    <s v="BRL"/>
    <x v="10"/>
    <n v="1"/>
    <n v="25"/>
    <s v="Banco do Brasil"/>
    <n v="25"/>
    <x v="1"/>
    <n v="2"/>
    <x v="1"/>
    <n v="8"/>
    <n v="25"/>
    <n v="25"/>
    <s v=""/>
    <s v=""/>
    <s v=""/>
    <s v=""/>
    <s v=""/>
  </r>
  <r>
    <x v="2"/>
    <x v="33"/>
    <x v="18"/>
    <s v="BRL"/>
    <x v="11"/>
    <n v="1"/>
    <n v="95"/>
    <s v="Banco do Brasil"/>
    <n v="95"/>
    <x v="1"/>
    <n v="2"/>
    <x v="1"/>
    <n v="10"/>
    <n v="95"/>
    <n v="95"/>
    <s v=""/>
    <s v=""/>
    <s v=""/>
    <s v=""/>
    <s v=""/>
  </r>
  <r>
    <x v="2"/>
    <x v="34"/>
    <x v="19"/>
    <s v="BRL"/>
    <x v="12"/>
    <n v="1"/>
    <n v="16.899999999999999"/>
    <s v="Banco do Brasil"/>
    <n v="16.899999999999999"/>
    <x v="1"/>
    <n v="2"/>
    <x v="1"/>
    <n v="12"/>
    <n v="137.33453714285722"/>
    <n v="137.33453714285722"/>
    <s v=""/>
    <s v=""/>
    <s v=""/>
    <s v=""/>
    <s v=""/>
  </r>
  <r>
    <x v="2"/>
    <x v="35"/>
    <x v="20"/>
    <s v="BRL"/>
    <x v="13"/>
    <n v="1"/>
    <n v="39.9"/>
    <s v="Banco do Brasil"/>
    <n v="39.9"/>
    <x v="1"/>
    <n v="2"/>
    <x v="1"/>
    <n v="15"/>
    <n v="59.90000000000002"/>
    <n v="59.90000000000002"/>
    <s v=""/>
    <s v=""/>
    <s v=""/>
    <s v=""/>
    <s v=""/>
  </r>
  <r>
    <x v="2"/>
    <x v="35"/>
    <x v="20"/>
    <s v="BRL"/>
    <x v="14"/>
    <n v="1"/>
    <n v="79.900000000000006"/>
    <s v="Banco do Brasil"/>
    <n v="79.900000000000006"/>
    <x v="1"/>
    <n v="2"/>
    <x v="1"/>
    <n v="15"/>
    <n v="59.90000000000002"/>
    <n v="59.90000000000002"/>
    <s v=""/>
    <s v=""/>
    <s v=""/>
    <s v=""/>
    <s v=""/>
  </r>
  <r>
    <x v="2"/>
    <x v="35"/>
    <x v="21"/>
    <s v="BRL"/>
    <x v="15"/>
    <n v="1"/>
    <n v="110"/>
    <s v="Banco do Brasil"/>
    <n v="110"/>
    <x v="1"/>
    <n v="2"/>
    <x v="1"/>
    <n v="15"/>
    <n v="110"/>
    <n v="110"/>
    <s v=""/>
    <s v=""/>
    <s v=""/>
    <s v=""/>
    <s v=""/>
  </r>
  <r>
    <x v="2"/>
    <x v="35"/>
    <x v="23"/>
    <s v="BRL"/>
    <x v="17"/>
    <n v="1"/>
    <n v="990.9941"/>
    <s v="Banco do Brasil"/>
    <n v="990.9941"/>
    <x v="1"/>
    <n v="2"/>
    <x v="1"/>
    <n v="15"/>
    <n v="1629.9930261538464"/>
    <n v="1629.9930261538464"/>
    <s v=""/>
    <s v=""/>
    <s v=""/>
    <s v=""/>
    <s v=""/>
  </r>
  <r>
    <x v="2"/>
    <x v="36"/>
    <x v="24"/>
    <s v="BRL"/>
    <x v="16"/>
    <n v="1"/>
    <n v="95"/>
    <s v="Banco do Brasil"/>
    <n v="95"/>
    <x v="1"/>
    <n v="2"/>
    <x v="1"/>
    <n v="20"/>
    <n v="93.857142857142861"/>
    <n v="93.857142857142861"/>
    <s v=""/>
    <s v=""/>
    <s v=""/>
    <s v=""/>
    <s v=""/>
  </r>
  <r>
    <x v="2"/>
    <x v="37"/>
    <x v="25"/>
    <s v="BRL"/>
    <x v="18"/>
    <n v="1"/>
    <n v="650"/>
    <s v="Banco do Brasil"/>
    <n v="650"/>
    <x v="1"/>
    <n v="2"/>
    <x v="1"/>
    <n v="24"/>
    <n v="650"/>
    <n v="650"/>
    <s v=""/>
    <s v=""/>
    <s v=""/>
    <s v=""/>
    <s v=""/>
  </r>
  <r>
    <x v="2"/>
    <x v="38"/>
    <x v="26"/>
    <s v="BRL"/>
    <x v="19"/>
    <n v="1"/>
    <n v="650"/>
    <s v="Banco do Brasil"/>
    <n v="650"/>
    <x v="1"/>
    <n v="2"/>
    <x v="1"/>
    <n v="28"/>
    <n v="650"/>
    <n v="650"/>
    <s v=""/>
    <s v=""/>
    <s v=""/>
    <s v=""/>
    <s v=""/>
  </r>
  <r>
    <x v="1"/>
    <x v="39"/>
    <x v="9"/>
    <s v="BRL"/>
    <x v="2"/>
    <n v="1"/>
    <n v="8000"/>
    <s v="Banco do Brasil"/>
    <n v="8000"/>
    <x v="1"/>
    <n v="3"/>
    <x v="1"/>
    <n v="5"/>
    <n v="7801.7948717948721"/>
    <n v="7801.7948717948721"/>
    <s v=""/>
    <s v=""/>
    <s v=""/>
    <s v=""/>
    <s v=""/>
  </r>
  <r>
    <x v="1"/>
    <x v="39"/>
    <x v="10"/>
    <s v="BRL"/>
    <x v="3"/>
    <n v="1"/>
    <n v="700"/>
    <s v="Banco do Brasil"/>
    <n v="700"/>
    <x v="1"/>
    <n v="3"/>
    <x v="1"/>
    <n v="5"/>
    <n v="770"/>
    <n v="770"/>
    <s v=""/>
    <s v=""/>
    <s v=""/>
    <s v=""/>
    <s v=""/>
  </r>
  <r>
    <x v="2"/>
    <x v="39"/>
    <x v="12"/>
    <s v="BRL"/>
    <x v="6"/>
    <n v="1"/>
    <n v="205"/>
    <s v="Banco do Brasil"/>
    <n v="205"/>
    <x v="1"/>
    <n v="3"/>
    <x v="1"/>
    <n v="5"/>
    <n v="205"/>
    <n v="205"/>
    <s v=""/>
    <s v=""/>
    <s v=""/>
    <s v=""/>
    <s v=""/>
  </r>
  <r>
    <x v="2"/>
    <x v="39"/>
    <x v="13"/>
    <s v="BRL"/>
    <x v="7"/>
    <n v="1"/>
    <n v="500"/>
    <s v="Banco do Brasil"/>
    <n v="500"/>
    <x v="1"/>
    <n v="3"/>
    <x v="1"/>
    <n v="5"/>
    <n v="515.93333333333328"/>
    <n v="515.93333333333328"/>
    <s v=""/>
    <s v=""/>
    <s v=""/>
    <s v=""/>
    <s v=""/>
  </r>
  <r>
    <x v="0"/>
    <x v="39"/>
    <x v="14"/>
    <n v="0"/>
    <x v="1"/>
    <n v="1"/>
    <n v="2500"/>
    <s v="Investimentos BB"/>
    <n v="2500"/>
    <x v="1"/>
    <n v="3"/>
    <x v="1"/>
    <n v="5"/>
    <e v="#DIV/0!"/>
    <e v="#DIV/0!"/>
    <s v=""/>
    <s v=""/>
    <s v=""/>
    <s v=""/>
    <s v=""/>
  </r>
  <r>
    <x v="2"/>
    <x v="40"/>
    <x v="17"/>
    <s v="BRL"/>
    <x v="10"/>
    <n v="1"/>
    <n v="25"/>
    <s v="Banco do Brasil"/>
    <n v="25"/>
    <x v="1"/>
    <n v="3"/>
    <x v="1"/>
    <n v="8"/>
    <n v="25"/>
    <n v="25"/>
    <s v=""/>
    <s v=""/>
    <s v=""/>
    <s v=""/>
    <s v=""/>
  </r>
  <r>
    <x v="2"/>
    <x v="41"/>
    <x v="18"/>
    <s v="BRL"/>
    <x v="11"/>
    <n v="1"/>
    <n v="95"/>
    <s v="Banco do Brasil"/>
    <n v="95"/>
    <x v="1"/>
    <n v="3"/>
    <x v="1"/>
    <n v="10"/>
    <n v="95"/>
    <n v="95"/>
    <s v=""/>
    <s v=""/>
    <s v=""/>
    <s v=""/>
    <s v=""/>
  </r>
  <r>
    <x v="2"/>
    <x v="42"/>
    <x v="19"/>
    <s v="BRL"/>
    <x v="12"/>
    <n v="1"/>
    <n v="16.899999999999999"/>
    <s v="Banco do Brasil"/>
    <n v="16.899999999999999"/>
    <x v="1"/>
    <n v="3"/>
    <x v="1"/>
    <n v="12"/>
    <n v="137.33453714285722"/>
    <n v="137.33453714285722"/>
    <s v=""/>
    <s v=""/>
    <s v=""/>
    <s v=""/>
    <s v=""/>
  </r>
  <r>
    <x v="2"/>
    <x v="43"/>
    <x v="20"/>
    <s v="BRL"/>
    <x v="13"/>
    <n v="1"/>
    <n v="39.9"/>
    <s v="Banco do Brasil"/>
    <n v="39.9"/>
    <x v="1"/>
    <n v="3"/>
    <x v="1"/>
    <n v="15"/>
    <n v="59.90000000000002"/>
    <n v="59.90000000000002"/>
    <s v=""/>
    <s v=""/>
    <s v=""/>
    <s v=""/>
    <s v=""/>
  </r>
  <r>
    <x v="2"/>
    <x v="43"/>
    <x v="20"/>
    <s v="BRL"/>
    <x v="14"/>
    <n v="1"/>
    <n v="79.900000000000006"/>
    <s v="Banco do Brasil"/>
    <n v="79.900000000000006"/>
    <x v="1"/>
    <n v="3"/>
    <x v="1"/>
    <n v="15"/>
    <n v="59.90000000000002"/>
    <n v="59.90000000000002"/>
    <s v=""/>
    <s v=""/>
    <s v=""/>
    <s v=""/>
    <s v=""/>
  </r>
  <r>
    <x v="2"/>
    <x v="43"/>
    <x v="21"/>
    <s v="BRL"/>
    <x v="15"/>
    <n v="1"/>
    <n v="110"/>
    <s v="Banco do Brasil"/>
    <n v="110"/>
    <x v="1"/>
    <n v="3"/>
    <x v="1"/>
    <n v="15"/>
    <n v="110"/>
    <n v="110"/>
    <s v=""/>
    <s v=""/>
    <s v=""/>
    <s v=""/>
    <s v=""/>
  </r>
  <r>
    <x v="2"/>
    <x v="43"/>
    <x v="23"/>
    <s v="BRL"/>
    <x v="17"/>
    <n v="1"/>
    <n v="1056.5150599999999"/>
    <s v="Banco do Brasil"/>
    <n v="1056.5150599999999"/>
    <x v="1"/>
    <n v="3"/>
    <x v="1"/>
    <n v="15"/>
    <n v="1629.9930261538464"/>
    <n v="1629.9930261538464"/>
    <s v=""/>
    <s v=""/>
    <s v=""/>
    <s v=""/>
    <s v=""/>
  </r>
  <r>
    <x v="2"/>
    <x v="44"/>
    <x v="24"/>
    <s v="BRL"/>
    <x v="16"/>
    <n v="1"/>
    <n v="95"/>
    <s v="Banco do Brasil"/>
    <n v="95"/>
    <x v="1"/>
    <n v="3"/>
    <x v="1"/>
    <n v="20"/>
    <n v="93.857142857142861"/>
    <n v="93.857142857142861"/>
    <s v=""/>
    <s v=""/>
    <s v=""/>
    <s v=""/>
    <s v=""/>
  </r>
  <r>
    <x v="2"/>
    <x v="45"/>
    <x v="25"/>
    <s v="BRL"/>
    <x v="18"/>
    <n v="1"/>
    <n v="650"/>
    <s v="Banco do Brasil"/>
    <n v="650"/>
    <x v="1"/>
    <n v="3"/>
    <x v="1"/>
    <n v="24"/>
    <n v="650"/>
    <n v="650"/>
    <s v=""/>
    <s v=""/>
    <s v=""/>
    <s v=""/>
    <s v=""/>
  </r>
  <r>
    <x v="2"/>
    <x v="46"/>
    <x v="26"/>
    <s v="BRL"/>
    <x v="19"/>
    <n v="1"/>
    <n v="650"/>
    <s v="Banco do Brasil"/>
    <n v="650"/>
    <x v="1"/>
    <n v="3"/>
    <x v="1"/>
    <n v="28"/>
    <n v="650"/>
    <n v="650"/>
    <s v=""/>
    <s v=""/>
    <s v=""/>
    <s v=""/>
    <s v=""/>
  </r>
  <r>
    <x v="1"/>
    <x v="47"/>
    <x v="9"/>
    <s v="BRL"/>
    <x v="2"/>
    <n v="1"/>
    <n v="8000"/>
    <s v="Banco do Brasil"/>
    <n v="8000"/>
    <x v="1"/>
    <n v="4"/>
    <x v="1"/>
    <n v="5"/>
    <n v="7801.7948717948721"/>
    <n v="7801.7948717948721"/>
    <s v=""/>
    <s v=""/>
    <s v=""/>
    <s v=""/>
    <s v=""/>
  </r>
  <r>
    <x v="1"/>
    <x v="47"/>
    <x v="10"/>
    <s v="BRL"/>
    <x v="3"/>
    <n v="1"/>
    <n v="700"/>
    <s v="Banco do Brasil"/>
    <n v="700"/>
    <x v="1"/>
    <n v="4"/>
    <x v="1"/>
    <n v="5"/>
    <n v="770"/>
    <n v="770"/>
    <s v=""/>
    <s v=""/>
    <s v=""/>
    <s v=""/>
    <s v=""/>
  </r>
  <r>
    <x v="2"/>
    <x v="47"/>
    <x v="12"/>
    <s v="BRL"/>
    <x v="6"/>
    <n v="1"/>
    <n v="205"/>
    <s v="Banco do Brasil"/>
    <n v="205"/>
    <x v="1"/>
    <n v="4"/>
    <x v="1"/>
    <n v="5"/>
    <n v="205"/>
    <n v="205"/>
    <s v=""/>
    <s v=""/>
    <s v=""/>
    <s v=""/>
    <s v=""/>
  </r>
  <r>
    <x v="2"/>
    <x v="47"/>
    <x v="13"/>
    <s v="BRL"/>
    <x v="7"/>
    <n v="1"/>
    <n v="500"/>
    <s v="Banco do Brasil"/>
    <n v="500"/>
    <x v="1"/>
    <n v="4"/>
    <x v="1"/>
    <n v="5"/>
    <n v="515.93333333333328"/>
    <n v="515.93333333333328"/>
    <s v=""/>
    <s v=""/>
    <s v=""/>
    <s v=""/>
    <s v=""/>
  </r>
  <r>
    <x v="0"/>
    <x v="47"/>
    <x v="14"/>
    <n v="0"/>
    <x v="1"/>
    <n v="1"/>
    <n v="2500"/>
    <s v="Investimentos BB"/>
    <n v="2500"/>
    <x v="1"/>
    <n v="4"/>
    <x v="1"/>
    <n v="5"/>
    <e v="#DIV/0!"/>
    <e v="#DIV/0!"/>
    <s v=""/>
    <s v=""/>
    <s v=""/>
    <s v=""/>
    <s v=""/>
  </r>
  <r>
    <x v="2"/>
    <x v="48"/>
    <x v="17"/>
    <s v="BRL"/>
    <x v="10"/>
    <n v="1"/>
    <n v="25"/>
    <s v="Banco do Brasil"/>
    <n v="25"/>
    <x v="1"/>
    <n v="4"/>
    <x v="1"/>
    <n v="8"/>
    <n v="25"/>
    <n v="25"/>
    <s v=""/>
    <s v=""/>
    <s v=""/>
    <s v=""/>
    <s v=""/>
  </r>
  <r>
    <x v="2"/>
    <x v="49"/>
    <x v="18"/>
    <s v="BRL"/>
    <x v="11"/>
    <n v="1"/>
    <n v="95"/>
    <s v="Banco do Brasil"/>
    <n v="95"/>
    <x v="1"/>
    <n v="4"/>
    <x v="1"/>
    <n v="10"/>
    <n v="95"/>
    <n v="95"/>
    <s v=""/>
    <s v=""/>
    <s v=""/>
    <s v=""/>
    <s v=""/>
  </r>
  <r>
    <x v="2"/>
    <x v="50"/>
    <x v="19"/>
    <s v="BRL"/>
    <x v="12"/>
    <n v="1"/>
    <n v="16.899999999999999"/>
    <s v="Banco do Brasil"/>
    <n v="16.899999999999999"/>
    <x v="1"/>
    <n v="4"/>
    <x v="1"/>
    <n v="12"/>
    <n v="137.33453714285722"/>
    <n v="137.33453714285722"/>
    <s v=""/>
    <s v=""/>
    <s v=""/>
    <s v=""/>
    <s v=""/>
  </r>
  <r>
    <x v="2"/>
    <x v="51"/>
    <x v="20"/>
    <s v="BRL"/>
    <x v="13"/>
    <n v="1"/>
    <n v="39.9"/>
    <s v="Banco do Brasil"/>
    <n v="39.9"/>
    <x v="1"/>
    <n v="4"/>
    <x v="1"/>
    <n v="15"/>
    <n v="59.90000000000002"/>
    <n v="59.90000000000002"/>
    <s v=""/>
    <s v=""/>
    <s v=""/>
    <s v=""/>
    <s v=""/>
  </r>
  <r>
    <x v="2"/>
    <x v="51"/>
    <x v="20"/>
    <s v="BRL"/>
    <x v="14"/>
    <n v="1"/>
    <n v="79.900000000000006"/>
    <s v="Banco do Brasil"/>
    <n v="79.900000000000006"/>
    <x v="1"/>
    <n v="4"/>
    <x v="1"/>
    <n v="15"/>
    <n v="59.90000000000002"/>
    <n v="59.90000000000002"/>
    <s v=""/>
    <s v=""/>
    <s v=""/>
    <s v=""/>
    <s v=""/>
  </r>
  <r>
    <x v="2"/>
    <x v="51"/>
    <x v="21"/>
    <s v="BRL"/>
    <x v="15"/>
    <n v="1"/>
    <n v="110"/>
    <s v="Banco do Brasil"/>
    <n v="110"/>
    <x v="1"/>
    <n v="4"/>
    <x v="1"/>
    <n v="15"/>
    <n v="110"/>
    <n v="110"/>
    <s v=""/>
    <s v=""/>
    <s v=""/>
    <s v=""/>
    <s v=""/>
  </r>
  <r>
    <x v="2"/>
    <x v="51"/>
    <x v="23"/>
    <s v="BRL"/>
    <x v="17"/>
    <n v="1"/>
    <n v="1119.5248000000001"/>
    <s v="Banco do Brasil"/>
    <n v="1119.5248000000001"/>
    <x v="1"/>
    <n v="4"/>
    <x v="1"/>
    <n v="15"/>
    <n v="1629.9930261538464"/>
    <n v="1629.9930261538464"/>
    <s v=""/>
    <s v=""/>
    <s v=""/>
    <s v=""/>
    <s v=""/>
  </r>
  <r>
    <x v="2"/>
    <x v="52"/>
    <x v="24"/>
    <s v="BRL"/>
    <x v="16"/>
    <n v="1"/>
    <n v="95"/>
    <s v="Banco do Brasil"/>
    <n v="95"/>
    <x v="1"/>
    <n v="4"/>
    <x v="1"/>
    <n v="20"/>
    <n v="93.857142857142861"/>
    <n v="93.857142857142861"/>
    <s v=""/>
    <s v=""/>
    <s v=""/>
    <s v=""/>
    <s v=""/>
  </r>
  <r>
    <x v="2"/>
    <x v="53"/>
    <x v="25"/>
    <s v="BRL"/>
    <x v="18"/>
    <n v="1"/>
    <n v="650"/>
    <s v="Banco do Brasil"/>
    <n v="650"/>
    <x v="1"/>
    <n v="4"/>
    <x v="1"/>
    <n v="24"/>
    <n v="650"/>
    <n v="650"/>
    <s v=""/>
    <s v=""/>
    <s v=""/>
    <s v=""/>
    <s v=""/>
  </r>
  <r>
    <x v="2"/>
    <x v="54"/>
    <x v="26"/>
    <s v="BRL"/>
    <x v="19"/>
    <n v="1"/>
    <n v="650"/>
    <s v="Banco do Brasil"/>
    <n v="650"/>
    <x v="1"/>
    <n v="4"/>
    <x v="1"/>
    <n v="28"/>
    <n v="650"/>
    <n v="650"/>
    <s v=""/>
    <s v=""/>
    <s v=""/>
    <s v=""/>
    <s v=""/>
  </r>
  <r>
    <x v="1"/>
    <x v="55"/>
    <x v="9"/>
    <s v="BRL"/>
    <x v="2"/>
    <n v="1"/>
    <n v="8000"/>
    <s v="Banco do Brasil"/>
    <n v="8000"/>
    <x v="1"/>
    <n v="5"/>
    <x v="1"/>
    <n v="5"/>
    <n v="7801.7948717948721"/>
    <n v="7801.7948717948721"/>
    <s v=""/>
    <s v=""/>
    <s v=""/>
    <s v=""/>
    <s v=""/>
  </r>
  <r>
    <x v="1"/>
    <x v="55"/>
    <x v="10"/>
    <s v="BRL"/>
    <x v="3"/>
    <n v="1"/>
    <n v="700"/>
    <s v="Banco do Brasil"/>
    <n v="700"/>
    <x v="1"/>
    <n v="5"/>
    <x v="1"/>
    <n v="5"/>
    <n v="770"/>
    <n v="770"/>
    <s v=""/>
    <s v=""/>
    <s v=""/>
    <s v=""/>
    <s v=""/>
  </r>
  <r>
    <x v="2"/>
    <x v="55"/>
    <x v="12"/>
    <s v="BRL"/>
    <x v="6"/>
    <n v="1"/>
    <n v="205"/>
    <s v="Banco do Brasil"/>
    <n v="205"/>
    <x v="1"/>
    <n v="5"/>
    <x v="1"/>
    <n v="5"/>
    <n v="205"/>
    <n v="205"/>
    <s v=""/>
    <s v=""/>
    <s v=""/>
    <s v=""/>
    <s v=""/>
  </r>
  <r>
    <x v="2"/>
    <x v="55"/>
    <x v="13"/>
    <s v="BRL"/>
    <x v="7"/>
    <n v="1"/>
    <n v="500"/>
    <s v="Banco do Brasil"/>
    <n v="500"/>
    <x v="1"/>
    <n v="5"/>
    <x v="1"/>
    <n v="5"/>
    <n v="515.93333333333328"/>
    <n v="515.93333333333328"/>
    <s v=""/>
    <s v=""/>
    <s v=""/>
    <s v=""/>
    <s v=""/>
  </r>
  <r>
    <x v="0"/>
    <x v="55"/>
    <x v="14"/>
    <n v="0"/>
    <x v="1"/>
    <n v="1"/>
    <n v="2500"/>
    <s v="Investimentos BB"/>
    <n v="2500"/>
    <x v="1"/>
    <n v="5"/>
    <x v="1"/>
    <n v="5"/>
    <e v="#DIV/0!"/>
    <e v="#DIV/0!"/>
    <s v=""/>
    <s v=""/>
    <s v=""/>
    <s v=""/>
    <s v=""/>
  </r>
  <r>
    <x v="2"/>
    <x v="56"/>
    <x v="17"/>
    <s v="BRL"/>
    <x v="10"/>
    <n v="1"/>
    <n v="25"/>
    <s v="Banco do Brasil"/>
    <n v="25"/>
    <x v="1"/>
    <n v="5"/>
    <x v="1"/>
    <n v="8"/>
    <n v="25"/>
    <n v="25"/>
    <s v=""/>
    <s v=""/>
    <s v=""/>
    <s v=""/>
    <s v=""/>
  </r>
  <r>
    <x v="2"/>
    <x v="57"/>
    <x v="18"/>
    <s v="BRL"/>
    <x v="11"/>
    <n v="1"/>
    <n v="95"/>
    <s v="Banco do Brasil"/>
    <n v="95"/>
    <x v="1"/>
    <n v="5"/>
    <x v="1"/>
    <n v="10"/>
    <n v="95"/>
    <n v="95"/>
    <s v=""/>
    <s v=""/>
    <s v=""/>
    <s v=""/>
    <s v=""/>
  </r>
  <r>
    <x v="2"/>
    <x v="58"/>
    <x v="19"/>
    <s v="BRL"/>
    <x v="12"/>
    <n v="1"/>
    <n v="16.899999999999999"/>
    <s v="Banco do Brasil"/>
    <n v="16.899999999999999"/>
    <x v="1"/>
    <n v="5"/>
    <x v="1"/>
    <n v="12"/>
    <n v="137.33453714285722"/>
    <n v="137.33453714285722"/>
    <s v=""/>
    <s v=""/>
    <s v=""/>
    <s v=""/>
    <s v=""/>
  </r>
  <r>
    <x v="2"/>
    <x v="59"/>
    <x v="20"/>
    <s v="BRL"/>
    <x v="13"/>
    <n v="1"/>
    <n v="39.9"/>
    <s v="Banco do Brasil"/>
    <n v="39.9"/>
    <x v="1"/>
    <n v="5"/>
    <x v="1"/>
    <n v="15"/>
    <n v="59.90000000000002"/>
    <n v="59.90000000000002"/>
    <s v=""/>
    <s v=""/>
    <s v=""/>
    <s v=""/>
    <s v=""/>
  </r>
  <r>
    <x v="2"/>
    <x v="59"/>
    <x v="20"/>
    <s v="BRL"/>
    <x v="14"/>
    <n v="1"/>
    <n v="79.900000000000006"/>
    <s v="Banco do Brasil"/>
    <n v="79.900000000000006"/>
    <x v="1"/>
    <n v="5"/>
    <x v="1"/>
    <n v="15"/>
    <n v="59.90000000000002"/>
    <n v="59.90000000000002"/>
    <s v=""/>
    <s v=""/>
    <s v=""/>
    <s v=""/>
    <s v=""/>
  </r>
  <r>
    <x v="2"/>
    <x v="59"/>
    <x v="21"/>
    <s v="BRL"/>
    <x v="15"/>
    <n v="1"/>
    <n v="110"/>
    <s v="Banco do Brasil"/>
    <n v="110"/>
    <x v="1"/>
    <n v="5"/>
    <x v="1"/>
    <n v="15"/>
    <n v="110"/>
    <n v="110"/>
    <s v=""/>
    <s v=""/>
    <s v=""/>
    <s v=""/>
    <s v=""/>
  </r>
  <r>
    <x v="2"/>
    <x v="59"/>
    <x v="23"/>
    <s v="BRL"/>
    <x v="17"/>
    <n v="1"/>
    <n v="1182.5241199999998"/>
    <s v="Banco do Brasil"/>
    <n v="1182.5241199999998"/>
    <x v="1"/>
    <n v="5"/>
    <x v="1"/>
    <n v="15"/>
    <n v="1629.9930261538464"/>
    <n v="1629.9930261538464"/>
    <s v=""/>
    <s v=""/>
    <s v=""/>
    <s v=""/>
    <s v=""/>
  </r>
  <r>
    <x v="2"/>
    <x v="60"/>
    <x v="24"/>
    <s v="BRL"/>
    <x v="16"/>
    <n v="1"/>
    <n v="95"/>
    <s v="Banco do Brasil"/>
    <n v="95"/>
    <x v="1"/>
    <n v="5"/>
    <x v="1"/>
    <n v="20"/>
    <n v="93.857142857142861"/>
    <n v="93.857142857142861"/>
    <s v=""/>
    <s v=""/>
    <s v=""/>
    <s v=""/>
    <s v=""/>
  </r>
  <r>
    <x v="2"/>
    <x v="61"/>
    <x v="25"/>
    <s v="BRL"/>
    <x v="18"/>
    <n v="1"/>
    <n v="650"/>
    <s v="Banco do Brasil"/>
    <n v="650"/>
    <x v="1"/>
    <n v="5"/>
    <x v="1"/>
    <n v="24"/>
    <n v="650"/>
    <n v="650"/>
    <s v=""/>
    <s v=""/>
    <s v=""/>
    <s v=""/>
    <s v=""/>
  </r>
  <r>
    <x v="2"/>
    <x v="62"/>
    <x v="26"/>
    <s v="BRL"/>
    <x v="19"/>
    <n v="1"/>
    <n v="650"/>
    <s v="Banco do Brasil"/>
    <n v="650"/>
    <x v="1"/>
    <n v="5"/>
    <x v="1"/>
    <n v="28"/>
    <n v="650"/>
    <n v="650"/>
    <s v=""/>
    <s v=""/>
    <s v=""/>
    <s v=""/>
    <s v=""/>
  </r>
  <r>
    <x v="1"/>
    <x v="63"/>
    <x v="9"/>
    <s v="BRL"/>
    <x v="2"/>
    <n v="1"/>
    <n v="8000"/>
    <s v="Banco do Brasil"/>
    <n v="8000"/>
    <x v="1"/>
    <n v="6"/>
    <x v="1"/>
    <n v="5"/>
    <n v="7801.7948717948721"/>
    <n v="7801.7948717948721"/>
    <s v=""/>
    <s v=""/>
    <s v=""/>
    <s v=""/>
    <s v=""/>
  </r>
  <r>
    <x v="1"/>
    <x v="63"/>
    <x v="10"/>
    <s v="BRL"/>
    <x v="3"/>
    <n v="1"/>
    <n v="700"/>
    <s v="Banco do Brasil"/>
    <n v="700"/>
    <x v="1"/>
    <n v="6"/>
    <x v="1"/>
    <n v="5"/>
    <n v="770"/>
    <n v="770"/>
    <s v=""/>
    <s v=""/>
    <s v=""/>
    <s v=""/>
    <s v=""/>
  </r>
  <r>
    <x v="0"/>
    <x v="63"/>
    <x v="14"/>
    <n v="0"/>
    <x v="1"/>
    <n v="1"/>
    <n v="2500"/>
    <s v="Investimentos BB"/>
    <n v="2500"/>
    <x v="1"/>
    <n v="6"/>
    <x v="1"/>
    <n v="5"/>
    <e v="#DIV/0!"/>
    <e v="#DIV/0!"/>
    <s v=""/>
    <s v=""/>
    <s v=""/>
    <s v=""/>
    <s v=""/>
  </r>
  <r>
    <x v="2"/>
    <x v="64"/>
    <x v="12"/>
    <s v="BRL"/>
    <x v="6"/>
    <n v="1"/>
    <n v="205"/>
    <s v="Banco do Brasil"/>
    <n v="205"/>
    <x v="1"/>
    <n v="6"/>
    <x v="1"/>
    <n v="6"/>
    <n v="205"/>
    <n v="205"/>
    <s v=""/>
    <s v=""/>
    <s v=""/>
    <s v=""/>
    <s v=""/>
  </r>
  <r>
    <x v="2"/>
    <x v="64"/>
    <x v="13"/>
    <s v="BRL"/>
    <x v="7"/>
    <n v="1"/>
    <n v="500"/>
    <s v="Banco do Brasil"/>
    <n v="500"/>
    <x v="1"/>
    <n v="6"/>
    <x v="1"/>
    <n v="6"/>
    <n v="515.93333333333328"/>
    <n v="515.93333333333328"/>
    <s v=""/>
    <s v=""/>
    <s v=""/>
    <s v=""/>
    <s v=""/>
  </r>
  <r>
    <x v="2"/>
    <x v="65"/>
    <x v="17"/>
    <s v="BRL"/>
    <x v="10"/>
    <n v="1"/>
    <n v="25"/>
    <s v="Banco do Brasil"/>
    <n v="25"/>
    <x v="1"/>
    <n v="6"/>
    <x v="1"/>
    <n v="8"/>
    <n v="25"/>
    <n v="25"/>
    <s v=""/>
    <s v=""/>
    <s v=""/>
    <s v=""/>
    <s v=""/>
  </r>
  <r>
    <x v="2"/>
    <x v="66"/>
    <x v="18"/>
    <s v="BRL"/>
    <x v="11"/>
    <n v="1"/>
    <n v="95"/>
    <s v="Banco do Brasil"/>
    <n v="95"/>
    <x v="1"/>
    <n v="6"/>
    <x v="1"/>
    <n v="10"/>
    <n v="95"/>
    <n v="95"/>
    <s v=""/>
    <s v=""/>
    <s v=""/>
    <s v=""/>
    <s v=""/>
  </r>
  <r>
    <x v="2"/>
    <x v="67"/>
    <x v="19"/>
    <s v="BRL"/>
    <x v="12"/>
    <n v="1"/>
    <n v="16.899999999999999"/>
    <s v="Banco do Brasil"/>
    <n v="16.899999999999999"/>
    <x v="1"/>
    <n v="6"/>
    <x v="1"/>
    <n v="12"/>
    <n v="137.33453714285722"/>
    <n v="137.33453714285722"/>
    <s v=""/>
    <s v=""/>
    <s v=""/>
    <s v=""/>
    <s v=""/>
  </r>
  <r>
    <x v="2"/>
    <x v="68"/>
    <x v="20"/>
    <s v="BRL"/>
    <x v="13"/>
    <n v="1"/>
    <n v="39.9"/>
    <s v="Banco do Brasil"/>
    <n v="39.9"/>
    <x v="1"/>
    <n v="6"/>
    <x v="1"/>
    <n v="15"/>
    <n v="59.90000000000002"/>
    <n v="59.90000000000002"/>
    <s v=""/>
    <s v=""/>
    <s v=""/>
    <s v=""/>
    <s v=""/>
  </r>
  <r>
    <x v="2"/>
    <x v="68"/>
    <x v="20"/>
    <s v="BRL"/>
    <x v="14"/>
    <n v="1"/>
    <n v="79.900000000000006"/>
    <s v="Banco do Brasil"/>
    <n v="79.900000000000006"/>
    <x v="1"/>
    <n v="6"/>
    <x v="1"/>
    <n v="15"/>
    <n v="59.90000000000002"/>
    <n v="59.90000000000002"/>
    <s v=""/>
    <s v=""/>
    <s v=""/>
    <s v=""/>
    <s v=""/>
  </r>
  <r>
    <x v="2"/>
    <x v="68"/>
    <x v="21"/>
    <s v="BRL"/>
    <x v="15"/>
    <n v="1"/>
    <n v="110"/>
    <s v="Banco do Brasil"/>
    <n v="110"/>
    <x v="1"/>
    <n v="6"/>
    <x v="1"/>
    <n v="15"/>
    <n v="110"/>
    <n v="110"/>
    <s v=""/>
    <s v=""/>
    <s v=""/>
    <s v=""/>
    <s v=""/>
  </r>
  <r>
    <x v="2"/>
    <x v="68"/>
    <x v="23"/>
    <s v="BRL"/>
    <x v="17"/>
    <n v="1"/>
    <n v="1237.12492"/>
    <s v="Banco do Brasil"/>
    <n v="1237.12492"/>
    <x v="1"/>
    <n v="6"/>
    <x v="1"/>
    <n v="15"/>
    <n v="1629.9930261538464"/>
    <n v="1629.9930261538464"/>
    <s v=""/>
    <s v=""/>
    <s v=""/>
    <s v=""/>
    <s v=""/>
  </r>
  <r>
    <x v="2"/>
    <x v="69"/>
    <x v="24"/>
    <s v="BRL"/>
    <x v="16"/>
    <n v="1"/>
    <n v="95"/>
    <s v="Banco do Brasil"/>
    <n v="95"/>
    <x v="1"/>
    <n v="6"/>
    <x v="1"/>
    <n v="20"/>
    <n v="93.857142857142861"/>
    <n v="93.857142857142861"/>
    <s v=""/>
    <s v=""/>
    <s v=""/>
    <s v=""/>
    <s v=""/>
  </r>
  <r>
    <x v="2"/>
    <x v="70"/>
    <x v="25"/>
    <s v="BRL"/>
    <x v="18"/>
    <n v="1"/>
    <n v="650"/>
    <s v="Banco do Brasil"/>
    <n v="650"/>
    <x v="1"/>
    <n v="6"/>
    <x v="1"/>
    <n v="24"/>
    <n v="650"/>
    <n v="650"/>
    <s v=""/>
    <s v=""/>
    <s v=""/>
    <s v=""/>
    <s v=""/>
  </r>
  <r>
    <x v="2"/>
    <x v="71"/>
    <x v="26"/>
    <s v="BRL"/>
    <x v="19"/>
    <n v="1"/>
    <n v="650"/>
    <s v="Banco do Brasil"/>
    <n v="650"/>
    <x v="1"/>
    <n v="6"/>
    <x v="1"/>
    <n v="28"/>
    <n v="650"/>
    <n v="650"/>
    <s v=""/>
    <s v=""/>
    <s v=""/>
    <s v=""/>
    <s v=""/>
  </r>
  <r>
    <x v="1"/>
    <x v="72"/>
    <x v="9"/>
    <s v="BRL"/>
    <x v="2"/>
    <n v="1"/>
    <n v="8000"/>
    <s v="Banco do Brasil"/>
    <n v="8000"/>
    <x v="1"/>
    <n v="7"/>
    <x v="1"/>
    <n v="5"/>
    <n v="7801.7948717948721"/>
    <n v="7801.7948717948721"/>
    <s v=""/>
    <s v=""/>
    <s v=""/>
    <s v=""/>
    <s v=""/>
  </r>
  <r>
    <x v="1"/>
    <x v="72"/>
    <x v="10"/>
    <s v="BRL"/>
    <x v="3"/>
    <n v="1"/>
    <n v="700"/>
    <s v="Banco do Brasil"/>
    <n v="700"/>
    <x v="1"/>
    <n v="7"/>
    <x v="1"/>
    <n v="5"/>
    <n v="770"/>
    <n v="770"/>
    <s v=""/>
    <s v=""/>
    <s v=""/>
    <s v=""/>
    <s v=""/>
  </r>
  <r>
    <x v="0"/>
    <x v="72"/>
    <x v="14"/>
    <n v="0"/>
    <x v="1"/>
    <n v="1"/>
    <n v="2500"/>
    <s v="Investimentos BB"/>
    <n v="2500"/>
    <x v="1"/>
    <n v="7"/>
    <x v="1"/>
    <n v="5"/>
    <e v="#DIV/0!"/>
    <e v="#DIV/0!"/>
    <s v=""/>
    <s v=""/>
    <s v=""/>
    <s v=""/>
    <s v=""/>
  </r>
  <r>
    <x v="2"/>
    <x v="73"/>
    <x v="12"/>
    <s v="BRL"/>
    <x v="6"/>
    <n v="1"/>
    <n v="205"/>
    <s v="Banco do Brasil"/>
    <n v="205"/>
    <x v="1"/>
    <n v="7"/>
    <x v="1"/>
    <n v="7"/>
    <n v="205"/>
    <n v="205"/>
    <s v=""/>
    <s v=""/>
    <s v=""/>
    <s v=""/>
    <s v=""/>
  </r>
  <r>
    <x v="2"/>
    <x v="73"/>
    <x v="13"/>
    <s v="BRL"/>
    <x v="7"/>
    <n v="1"/>
    <n v="500"/>
    <s v="Banco do Brasil"/>
    <n v="500"/>
    <x v="1"/>
    <n v="7"/>
    <x v="1"/>
    <n v="7"/>
    <n v="515.93333333333328"/>
    <n v="515.93333333333328"/>
    <s v=""/>
    <s v=""/>
    <s v=""/>
    <s v=""/>
    <s v=""/>
  </r>
  <r>
    <x v="2"/>
    <x v="74"/>
    <x v="17"/>
    <s v="BRL"/>
    <x v="10"/>
    <n v="1"/>
    <n v="25"/>
    <s v="Banco do Brasil"/>
    <n v="25"/>
    <x v="1"/>
    <n v="7"/>
    <x v="1"/>
    <n v="8"/>
    <n v="25"/>
    <n v="25"/>
    <s v=""/>
    <s v=""/>
    <s v=""/>
    <s v=""/>
    <s v=""/>
  </r>
  <r>
    <x v="2"/>
    <x v="75"/>
    <x v="18"/>
    <s v="BRL"/>
    <x v="11"/>
    <n v="1"/>
    <n v="95"/>
    <s v="Banco do Brasil"/>
    <n v="95"/>
    <x v="1"/>
    <n v="7"/>
    <x v="1"/>
    <n v="10"/>
    <n v="95"/>
    <n v="95"/>
    <s v=""/>
    <s v=""/>
    <s v=""/>
    <s v=""/>
    <s v=""/>
  </r>
  <r>
    <x v="2"/>
    <x v="76"/>
    <x v="19"/>
    <s v="BRL"/>
    <x v="12"/>
    <n v="1"/>
    <n v="16.899999999999999"/>
    <s v="Banco do Brasil"/>
    <n v="16.899999999999999"/>
    <x v="1"/>
    <n v="7"/>
    <x v="1"/>
    <n v="12"/>
    <n v="137.33453714285722"/>
    <n v="137.33453714285722"/>
    <s v=""/>
    <s v=""/>
    <s v=""/>
    <s v=""/>
    <s v=""/>
  </r>
  <r>
    <x v="2"/>
    <x v="77"/>
    <x v="20"/>
    <s v="BRL"/>
    <x v="13"/>
    <n v="1"/>
    <n v="39.9"/>
    <s v="Banco do Brasil"/>
    <n v="39.9"/>
    <x v="1"/>
    <n v="7"/>
    <x v="1"/>
    <n v="15"/>
    <n v="59.90000000000002"/>
    <n v="59.90000000000002"/>
    <s v=""/>
    <s v=""/>
    <s v=""/>
    <s v=""/>
    <s v=""/>
  </r>
  <r>
    <x v="2"/>
    <x v="77"/>
    <x v="20"/>
    <s v="BRL"/>
    <x v="14"/>
    <n v="1"/>
    <n v="79.900000000000006"/>
    <s v="Banco do Brasil"/>
    <n v="79.900000000000006"/>
    <x v="1"/>
    <n v="7"/>
    <x v="1"/>
    <n v="15"/>
    <n v="59.90000000000002"/>
    <n v="59.90000000000002"/>
    <s v=""/>
    <s v=""/>
    <s v=""/>
    <s v=""/>
    <s v=""/>
  </r>
  <r>
    <x v="2"/>
    <x v="77"/>
    <x v="21"/>
    <s v="BRL"/>
    <x v="15"/>
    <n v="1"/>
    <n v="110"/>
    <s v="Banco do Brasil"/>
    <n v="110"/>
    <x v="1"/>
    <n v="7"/>
    <x v="1"/>
    <n v="15"/>
    <n v="110"/>
    <n v="110"/>
    <s v=""/>
    <s v=""/>
    <s v=""/>
    <s v=""/>
    <s v=""/>
  </r>
  <r>
    <x v="2"/>
    <x v="77"/>
    <x v="23"/>
    <s v="BRL"/>
    <x v="17"/>
    <n v="1"/>
    <n v="1291.73614"/>
    <s v="Banco do Brasil"/>
    <n v="1291.73614"/>
    <x v="1"/>
    <n v="7"/>
    <x v="1"/>
    <n v="15"/>
    <n v="1629.9930261538464"/>
    <n v="1629.9930261538464"/>
    <s v=""/>
    <s v=""/>
    <s v=""/>
    <s v=""/>
    <s v=""/>
  </r>
  <r>
    <x v="2"/>
    <x v="78"/>
    <x v="24"/>
    <s v="BRL"/>
    <x v="16"/>
    <n v="1"/>
    <n v="95"/>
    <s v="Banco do Brasil"/>
    <n v="95"/>
    <x v="1"/>
    <n v="7"/>
    <x v="1"/>
    <n v="20"/>
    <n v="93.857142857142861"/>
    <n v="93.857142857142861"/>
    <s v=""/>
    <s v=""/>
    <s v=""/>
    <s v=""/>
    <s v=""/>
  </r>
  <r>
    <x v="2"/>
    <x v="79"/>
    <x v="25"/>
    <s v="BRL"/>
    <x v="18"/>
    <n v="1"/>
    <n v="650"/>
    <s v="Banco do Brasil"/>
    <n v="650"/>
    <x v="1"/>
    <n v="7"/>
    <x v="1"/>
    <n v="24"/>
    <n v="650"/>
    <n v="650"/>
    <s v=""/>
    <s v=""/>
    <s v=""/>
    <s v=""/>
    <s v=""/>
  </r>
  <r>
    <x v="2"/>
    <x v="80"/>
    <x v="26"/>
    <s v="BRL"/>
    <x v="19"/>
    <n v="1"/>
    <n v="650"/>
    <s v="Banco do Brasil"/>
    <n v="650"/>
    <x v="1"/>
    <n v="7"/>
    <x v="1"/>
    <n v="28"/>
    <n v="650"/>
    <n v="650"/>
    <s v=""/>
    <s v=""/>
    <s v=""/>
    <s v=""/>
    <s v=""/>
  </r>
  <r>
    <x v="1"/>
    <x v="81"/>
    <x v="9"/>
    <s v="BRL"/>
    <x v="2"/>
    <n v="1"/>
    <n v="8000"/>
    <s v="Banco do Brasil"/>
    <n v="8000"/>
    <x v="1"/>
    <n v="8"/>
    <x v="1"/>
    <n v="5"/>
    <n v="7801.7948717948721"/>
    <n v="7801.7948717948721"/>
    <s v=""/>
    <s v=""/>
    <s v=""/>
    <s v=""/>
    <s v=""/>
  </r>
  <r>
    <x v="1"/>
    <x v="81"/>
    <x v="10"/>
    <s v="BRL"/>
    <x v="3"/>
    <n v="1"/>
    <n v="700"/>
    <s v="Banco do Brasil"/>
    <n v="700"/>
    <x v="1"/>
    <n v="8"/>
    <x v="1"/>
    <n v="5"/>
    <n v="770"/>
    <n v="770"/>
    <s v=""/>
    <s v=""/>
    <s v=""/>
    <s v=""/>
    <s v=""/>
  </r>
  <r>
    <x v="0"/>
    <x v="81"/>
    <x v="14"/>
    <n v="0"/>
    <x v="1"/>
    <n v="1"/>
    <n v="2500"/>
    <s v="Investimentos BB"/>
    <n v="2500"/>
    <x v="1"/>
    <n v="8"/>
    <x v="1"/>
    <n v="5"/>
    <e v="#DIV/0!"/>
    <e v="#DIV/0!"/>
    <s v=""/>
    <s v=""/>
    <s v=""/>
    <s v=""/>
    <s v=""/>
  </r>
  <r>
    <x v="2"/>
    <x v="82"/>
    <x v="17"/>
    <s v="BRL"/>
    <x v="10"/>
    <n v="1"/>
    <n v="25"/>
    <s v="Banco do Brasil"/>
    <n v="25"/>
    <x v="1"/>
    <n v="8"/>
    <x v="1"/>
    <n v="8"/>
    <n v="25"/>
    <n v="25"/>
    <s v=""/>
    <s v=""/>
    <s v=""/>
    <s v=""/>
    <s v=""/>
  </r>
  <r>
    <x v="2"/>
    <x v="82"/>
    <x v="12"/>
    <s v="BRL"/>
    <x v="6"/>
    <n v="1"/>
    <n v="205"/>
    <s v="Banco do Brasil"/>
    <n v="205"/>
    <x v="1"/>
    <n v="8"/>
    <x v="1"/>
    <n v="8"/>
    <n v="205"/>
    <n v="205"/>
    <s v=""/>
    <s v=""/>
    <s v=""/>
    <s v=""/>
    <s v=""/>
  </r>
  <r>
    <x v="2"/>
    <x v="83"/>
    <x v="18"/>
    <s v="BRL"/>
    <x v="11"/>
    <n v="1"/>
    <n v="95"/>
    <s v="Banco do Brasil"/>
    <n v="95"/>
    <x v="1"/>
    <n v="8"/>
    <x v="1"/>
    <n v="10"/>
    <n v="95"/>
    <n v="95"/>
    <s v=""/>
    <s v=""/>
    <s v=""/>
    <s v=""/>
    <s v=""/>
  </r>
  <r>
    <x v="2"/>
    <x v="84"/>
    <x v="19"/>
    <s v="BRL"/>
    <x v="12"/>
    <n v="1"/>
    <n v="16.899999999999999"/>
    <s v="Banco do Brasil"/>
    <n v="16.899999999999999"/>
    <x v="1"/>
    <n v="8"/>
    <x v="1"/>
    <n v="12"/>
    <n v="137.33453714285722"/>
    <n v="137.33453714285722"/>
    <s v=""/>
    <s v=""/>
    <s v=""/>
    <s v=""/>
    <s v=""/>
  </r>
  <r>
    <x v="2"/>
    <x v="85"/>
    <x v="20"/>
    <s v="BRL"/>
    <x v="13"/>
    <n v="1"/>
    <n v="39.9"/>
    <s v="Banco do Brasil"/>
    <n v="39.9"/>
    <x v="1"/>
    <n v="8"/>
    <x v="1"/>
    <n v="15"/>
    <n v="59.90000000000002"/>
    <n v="59.90000000000002"/>
    <s v=""/>
    <s v=""/>
    <s v=""/>
    <s v=""/>
    <s v=""/>
  </r>
  <r>
    <x v="2"/>
    <x v="85"/>
    <x v="20"/>
    <s v="BRL"/>
    <x v="14"/>
    <n v="1"/>
    <n v="79.900000000000006"/>
    <s v="Banco do Brasil"/>
    <n v="79.900000000000006"/>
    <x v="1"/>
    <n v="8"/>
    <x v="1"/>
    <n v="15"/>
    <n v="59.90000000000002"/>
    <n v="59.90000000000002"/>
    <s v=""/>
    <s v=""/>
    <s v=""/>
    <s v=""/>
    <s v=""/>
  </r>
  <r>
    <x v="2"/>
    <x v="85"/>
    <x v="21"/>
    <s v="BRL"/>
    <x v="15"/>
    <n v="1"/>
    <n v="110"/>
    <s v="Banco do Brasil"/>
    <n v="110"/>
    <x v="1"/>
    <n v="8"/>
    <x v="1"/>
    <n v="15"/>
    <n v="110"/>
    <n v="110"/>
    <s v=""/>
    <s v=""/>
    <s v=""/>
    <s v=""/>
    <s v=""/>
  </r>
  <r>
    <x v="2"/>
    <x v="85"/>
    <x v="23"/>
    <s v="BRL"/>
    <x v="17"/>
    <n v="1"/>
    <n v="1346.3369399999999"/>
    <s v="Banco do Brasil"/>
    <n v="1346.3369399999999"/>
    <x v="1"/>
    <n v="8"/>
    <x v="1"/>
    <n v="15"/>
    <n v="1629.9930261538464"/>
    <n v="1629.9930261538464"/>
    <s v=""/>
    <s v=""/>
    <s v=""/>
    <s v=""/>
    <s v=""/>
  </r>
  <r>
    <x v="2"/>
    <x v="86"/>
    <x v="24"/>
    <s v="BRL"/>
    <x v="16"/>
    <n v="1"/>
    <n v="95"/>
    <s v="Banco do Brasil"/>
    <n v="95"/>
    <x v="1"/>
    <n v="8"/>
    <x v="1"/>
    <n v="20"/>
    <n v="93.857142857142861"/>
    <n v="93.857142857142861"/>
    <s v=""/>
    <s v=""/>
    <s v=""/>
    <s v=""/>
    <s v=""/>
  </r>
  <r>
    <x v="2"/>
    <x v="87"/>
    <x v="25"/>
    <s v="BRL"/>
    <x v="18"/>
    <n v="1"/>
    <n v="650"/>
    <s v="Banco do Brasil"/>
    <n v="650"/>
    <x v="1"/>
    <n v="8"/>
    <x v="1"/>
    <n v="24"/>
    <n v="650"/>
    <n v="650"/>
    <s v=""/>
    <s v=""/>
    <s v=""/>
    <s v=""/>
    <s v=""/>
  </r>
  <r>
    <x v="2"/>
    <x v="88"/>
    <x v="26"/>
    <s v="BRL"/>
    <x v="19"/>
    <n v="1"/>
    <n v="650"/>
    <s v="Banco do Brasil"/>
    <n v="650"/>
    <x v="1"/>
    <n v="8"/>
    <x v="1"/>
    <n v="28"/>
    <n v="650"/>
    <n v="650"/>
    <s v=""/>
    <s v=""/>
    <s v=""/>
    <s v=""/>
    <s v=""/>
  </r>
  <r>
    <x v="1"/>
    <x v="89"/>
    <x v="9"/>
    <s v="BRL"/>
    <x v="2"/>
    <n v="1"/>
    <n v="8000"/>
    <s v="Banco do Brasil"/>
    <n v="8000"/>
    <x v="1"/>
    <n v="9"/>
    <x v="1"/>
    <n v="5"/>
    <n v="7801.7948717948721"/>
    <n v="7801.7948717948721"/>
    <s v=""/>
    <s v=""/>
    <s v=""/>
    <s v=""/>
    <s v=""/>
  </r>
  <r>
    <x v="0"/>
    <x v="89"/>
    <x v="14"/>
    <n v="0"/>
    <x v="1"/>
    <n v="1"/>
    <n v="3500"/>
    <s v="Investimentos BB"/>
    <n v="3500"/>
    <x v="1"/>
    <n v="9"/>
    <x v="1"/>
    <n v="5"/>
    <e v="#DIV/0!"/>
    <e v="#DIV/0!"/>
    <s v=""/>
    <s v=""/>
    <s v=""/>
    <s v=""/>
    <s v=""/>
  </r>
  <r>
    <x v="2"/>
    <x v="90"/>
    <x v="13"/>
    <s v="BRL"/>
    <x v="7"/>
    <n v="1"/>
    <n v="500"/>
    <s v="Banco do Brasil"/>
    <n v="500"/>
    <x v="1"/>
    <n v="9"/>
    <x v="1"/>
    <n v="9"/>
    <n v="515.93333333333328"/>
    <n v="515.93333333333328"/>
    <s v=""/>
    <s v=""/>
    <s v=""/>
    <s v=""/>
    <s v=""/>
  </r>
  <r>
    <x v="2"/>
    <x v="90"/>
    <x v="17"/>
    <s v="BRL"/>
    <x v="10"/>
    <n v="1"/>
    <n v="25"/>
    <s v="Banco do Brasil"/>
    <n v="25"/>
    <x v="1"/>
    <n v="9"/>
    <x v="1"/>
    <n v="9"/>
    <n v="25"/>
    <n v="25"/>
    <s v=""/>
    <s v=""/>
    <s v=""/>
    <s v=""/>
    <s v=""/>
  </r>
  <r>
    <x v="2"/>
    <x v="90"/>
    <x v="12"/>
    <s v="BRL"/>
    <x v="6"/>
    <n v="1"/>
    <n v="205"/>
    <s v="Banco do Brasil"/>
    <n v="205"/>
    <x v="1"/>
    <n v="9"/>
    <x v="1"/>
    <n v="9"/>
    <n v="205"/>
    <n v="205"/>
    <s v=""/>
    <s v=""/>
    <s v=""/>
    <s v=""/>
    <s v=""/>
  </r>
  <r>
    <x v="2"/>
    <x v="90"/>
    <x v="13"/>
    <s v="BRL"/>
    <x v="7"/>
    <n v="1"/>
    <n v="500"/>
    <s v="Banco do Brasil"/>
    <n v="500"/>
    <x v="1"/>
    <n v="9"/>
    <x v="1"/>
    <n v="9"/>
    <n v="515.93333333333328"/>
    <n v="515.93333333333328"/>
    <s v=""/>
    <s v=""/>
    <s v=""/>
    <s v=""/>
    <s v=""/>
  </r>
  <r>
    <x v="2"/>
    <x v="91"/>
    <x v="18"/>
    <s v="BRL"/>
    <x v="11"/>
    <n v="1"/>
    <n v="95"/>
    <s v="Banco do Brasil"/>
    <n v="95"/>
    <x v="1"/>
    <n v="9"/>
    <x v="1"/>
    <n v="10"/>
    <n v="95"/>
    <n v="95"/>
    <s v=""/>
    <s v=""/>
    <s v=""/>
    <s v=""/>
    <s v=""/>
  </r>
  <r>
    <x v="2"/>
    <x v="92"/>
    <x v="19"/>
    <s v="BRL"/>
    <x v="12"/>
    <n v="1"/>
    <n v="16.899999999999999"/>
    <s v="Banco do Brasil"/>
    <n v="16.899999999999999"/>
    <x v="1"/>
    <n v="9"/>
    <x v="1"/>
    <n v="12"/>
    <n v="137.33453714285722"/>
    <n v="137.33453714285722"/>
    <s v=""/>
    <s v=""/>
    <s v=""/>
    <s v=""/>
    <s v=""/>
  </r>
  <r>
    <x v="2"/>
    <x v="93"/>
    <x v="20"/>
    <s v="BRL"/>
    <x v="13"/>
    <n v="1"/>
    <n v="39.9"/>
    <s v="Banco do Brasil"/>
    <n v="39.9"/>
    <x v="1"/>
    <n v="9"/>
    <x v="1"/>
    <n v="15"/>
    <n v="59.90000000000002"/>
    <n v="59.90000000000002"/>
    <s v=""/>
    <s v=""/>
    <s v=""/>
    <s v=""/>
    <s v=""/>
  </r>
  <r>
    <x v="2"/>
    <x v="93"/>
    <x v="20"/>
    <s v="BRL"/>
    <x v="14"/>
    <n v="1"/>
    <n v="79.900000000000006"/>
    <s v="Banco do Brasil"/>
    <n v="79.900000000000006"/>
    <x v="1"/>
    <n v="9"/>
    <x v="1"/>
    <n v="15"/>
    <n v="59.90000000000002"/>
    <n v="59.90000000000002"/>
    <s v=""/>
    <s v=""/>
    <s v=""/>
    <s v=""/>
    <s v=""/>
  </r>
  <r>
    <x v="2"/>
    <x v="93"/>
    <x v="21"/>
    <s v="BRL"/>
    <x v="15"/>
    <n v="1"/>
    <n v="110"/>
    <s v="Banco do Brasil"/>
    <n v="110"/>
    <x v="1"/>
    <n v="9"/>
    <x v="1"/>
    <n v="15"/>
    <n v="110"/>
    <n v="110"/>
    <s v=""/>
    <s v=""/>
    <s v=""/>
    <s v=""/>
    <s v=""/>
  </r>
  <r>
    <x v="2"/>
    <x v="93"/>
    <x v="23"/>
    <s v="BRL"/>
    <x v="17"/>
    <n v="1"/>
    <n v="1400.9377400000001"/>
    <s v="Banco do Brasil"/>
    <n v="1400.9377400000001"/>
    <x v="1"/>
    <n v="9"/>
    <x v="1"/>
    <n v="15"/>
    <n v="1629.9930261538464"/>
    <n v="1629.9930261538464"/>
    <s v=""/>
    <s v=""/>
    <s v=""/>
    <s v=""/>
    <s v=""/>
  </r>
  <r>
    <x v="2"/>
    <x v="94"/>
    <x v="24"/>
    <s v="BRL"/>
    <x v="16"/>
    <n v="1"/>
    <n v="95"/>
    <s v="Banco do Brasil"/>
    <n v="95"/>
    <x v="1"/>
    <n v="9"/>
    <x v="1"/>
    <n v="20"/>
    <n v="93.857142857142861"/>
    <n v="93.857142857142861"/>
    <s v=""/>
    <s v=""/>
    <s v=""/>
    <s v=""/>
    <s v=""/>
  </r>
  <r>
    <x v="2"/>
    <x v="95"/>
    <x v="25"/>
    <s v="BRL"/>
    <x v="18"/>
    <n v="1"/>
    <n v="650"/>
    <s v="Banco do Brasil"/>
    <n v="650"/>
    <x v="1"/>
    <n v="9"/>
    <x v="1"/>
    <n v="24"/>
    <n v="650"/>
    <n v="650"/>
    <s v=""/>
    <s v=""/>
    <s v=""/>
    <s v=""/>
    <s v=""/>
  </r>
  <r>
    <x v="2"/>
    <x v="96"/>
    <x v="26"/>
    <s v="BRL"/>
    <x v="19"/>
    <n v="1"/>
    <n v="650"/>
    <s v="Banco do Brasil"/>
    <n v="650"/>
    <x v="1"/>
    <n v="9"/>
    <x v="1"/>
    <n v="28"/>
    <n v="650"/>
    <n v="650"/>
    <s v=""/>
    <s v=""/>
    <s v=""/>
    <s v=""/>
    <s v=""/>
  </r>
  <r>
    <x v="1"/>
    <x v="97"/>
    <x v="9"/>
    <s v="BRL"/>
    <x v="2"/>
    <n v="1"/>
    <n v="8000"/>
    <s v="Banco do Brasil"/>
    <n v="8000"/>
    <x v="1"/>
    <n v="10"/>
    <x v="1"/>
    <n v="5"/>
    <n v="7801.7948717948721"/>
    <n v="7801.7948717948721"/>
    <s v=""/>
    <s v=""/>
    <s v=""/>
    <s v=""/>
    <s v=""/>
  </r>
  <r>
    <x v="0"/>
    <x v="97"/>
    <x v="14"/>
    <n v="0"/>
    <x v="1"/>
    <n v="1"/>
    <n v="3500"/>
    <s v="Investimentos BB"/>
    <n v="3500"/>
    <x v="1"/>
    <n v="10"/>
    <x v="1"/>
    <n v="5"/>
    <e v="#DIV/0!"/>
    <e v="#DIV/0!"/>
    <s v=""/>
    <s v=""/>
    <s v=""/>
    <s v=""/>
    <s v=""/>
  </r>
  <r>
    <x v="2"/>
    <x v="98"/>
    <x v="17"/>
    <s v="BRL"/>
    <x v="10"/>
    <n v="1"/>
    <n v="25"/>
    <s v="Banco do Brasil"/>
    <n v="25"/>
    <x v="1"/>
    <n v="10"/>
    <x v="1"/>
    <n v="10"/>
    <n v="25"/>
    <n v="25"/>
    <s v=""/>
    <s v=""/>
    <s v=""/>
    <s v=""/>
    <s v=""/>
  </r>
  <r>
    <x v="2"/>
    <x v="98"/>
    <x v="18"/>
    <s v="BRL"/>
    <x v="11"/>
    <n v="1"/>
    <n v="95"/>
    <s v="Banco do Brasil"/>
    <n v="95"/>
    <x v="1"/>
    <n v="10"/>
    <x v="1"/>
    <n v="10"/>
    <n v="95"/>
    <n v="95"/>
    <s v=""/>
    <s v=""/>
    <s v=""/>
    <s v=""/>
    <s v=""/>
  </r>
  <r>
    <x v="2"/>
    <x v="98"/>
    <x v="12"/>
    <s v="BRL"/>
    <x v="6"/>
    <n v="1"/>
    <n v="205"/>
    <s v="Banco do Brasil"/>
    <n v="205"/>
    <x v="1"/>
    <n v="10"/>
    <x v="1"/>
    <n v="10"/>
    <n v="205"/>
    <n v="205"/>
    <s v=""/>
    <s v=""/>
    <s v=""/>
    <s v=""/>
    <s v=""/>
  </r>
  <r>
    <x v="2"/>
    <x v="99"/>
    <x v="19"/>
    <s v="BRL"/>
    <x v="12"/>
    <n v="1"/>
    <n v="16.899999999999999"/>
    <s v="Banco do Brasil"/>
    <n v="16.899999999999999"/>
    <x v="1"/>
    <n v="10"/>
    <x v="1"/>
    <n v="12"/>
    <n v="137.33453714285722"/>
    <n v="137.33453714285722"/>
    <s v=""/>
    <s v=""/>
    <s v=""/>
    <s v=""/>
    <s v=""/>
  </r>
  <r>
    <x v="2"/>
    <x v="100"/>
    <x v="20"/>
    <s v="BRL"/>
    <x v="13"/>
    <n v="1"/>
    <n v="39.9"/>
    <s v="Banco do Brasil"/>
    <n v="39.9"/>
    <x v="1"/>
    <n v="10"/>
    <x v="1"/>
    <n v="15"/>
    <n v="59.90000000000002"/>
    <n v="59.90000000000002"/>
    <s v=""/>
    <s v=""/>
    <s v=""/>
    <s v=""/>
    <s v=""/>
  </r>
  <r>
    <x v="2"/>
    <x v="100"/>
    <x v="20"/>
    <s v="BRL"/>
    <x v="14"/>
    <n v="1"/>
    <n v="79.900000000000006"/>
    <s v="Banco do Brasil"/>
    <n v="79.900000000000006"/>
    <x v="1"/>
    <n v="10"/>
    <x v="1"/>
    <n v="15"/>
    <n v="59.90000000000002"/>
    <n v="59.90000000000002"/>
    <s v=""/>
    <s v=""/>
    <s v=""/>
    <s v=""/>
    <s v=""/>
  </r>
  <r>
    <x v="2"/>
    <x v="100"/>
    <x v="21"/>
    <s v="BRL"/>
    <x v="15"/>
    <n v="1"/>
    <n v="110"/>
    <s v="Banco do Brasil"/>
    <n v="110"/>
    <x v="1"/>
    <n v="10"/>
    <x v="1"/>
    <n v="15"/>
    <n v="110"/>
    <n v="110"/>
    <s v=""/>
    <s v=""/>
    <s v=""/>
    <s v=""/>
    <s v=""/>
  </r>
  <r>
    <x v="2"/>
    <x v="100"/>
    <x v="23"/>
    <s v="BRL"/>
    <x v="17"/>
    <n v="1"/>
    <n v="1455.5385399999998"/>
    <s v="Banco do Brasil"/>
    <n v="1455.5385399999998"/>
    <x v="1"/>
    <n v="10"/>
    <x v="1"/>
    <n v="15"/>
    <n v="1629.9930261538464"/>
    <n v="1629.9930261538464"/>
    <s v=""/>
    <s v=""/>
    <s v=""/>
    <s v=""/>
    <s v=""/>
  </r>
  <r>
    <x v="2"/>
    <x v="101"/>
    <x v="24"/>
    <s v="BRL"/>
    <x v="16"/>
    <n v="1"/>
    <n v="95"/>
    <s v="Banco do Brasil"/>
    <n v="95"/>
    <x v="1"/>
    <n v="10"/>
    <x v="1"/>
    <n v="20"/>
    <n v="93.857142857142861"/>
    <n v="93.857142857142861"/>
    <s v=""/>
    <s v=""/>
    <s v=""/>
    <s v=""/>
    <s v=""/>
  </r>
  <r>
    <x v="2"/>
    <x v="102"/>
    <x v="25"/>
    <s v="BRL"/>
    <x v="18"/>
    <n v="1"/>
    <n v="650"/>
    <s v="Banco do Brasil"/>
    <n v="650"/>
    <x v="1"/>
    <n v="10"/>
    <x v="1"/>
    <n v="24"/>
    <n v="650"/>
    <n v="650"/>
    <s v=""/>
    <s v=""/>
    <s v=""/>
    <s v=""/>
    <s v=""/>
  </r>
  <r>
    <x v="2"/>
    <x v="103"/>
    <x v="26"/>
    <s v="BRL"/>
    <x v="19"/>
    <n v="1"/>
    <n v="650"/>
    <s v="Banco do Brasil"/>
    <n v="650"/>
    <x v="1"/>
    <n v="10"/>
    <x v="1"/>
    <n v="28"/>
    <n v="650"/>
    <n v="650"/>
    <s v=""/>
    <s v=""/>
    <s v=""/>
    <s v=""/>
    <s v=""/>
  </r>
  <r>
    <x v="1"/>
    <x v="104"/>
    <x v="9"/>
    <s v="BRL"/>
    <x v="2"/>
    <n v="1"/>
    <n v="8000"/>
    <s v="Banco do Brasil"/>
    <n v="8000"/>
    <x v="1"/>
    <n v="11"/>
    <x v="1"/>
    <n v="5"/>
    <n v="7801.7948717948721"/>
    <n v="7801.7948717948721"/>
    <s v=""/>
    <s v=""/>
    <s v=""/>
    <s v=""/>
    <s v=""/>
  </r>
  <r>
    <x v="0"/>
    <x v="104"/>
    <x v="14"/>
    <n v="0"/>
    <x v="1"/>
    <n v="1"/>
    <n v="3500"/>
    <s v="Investimentos BB"/>
    <n v="3500"/>
    <x v="1"/>
    <n v="11"/>
    <x v="1"/>
    <n v="5"/>
    <e v="#DIV/0!"/>
    <e v="#DIV/0!"/>
    <s v=""/>
    <s v=""/>
    <s v=""/>
    <s v=""/>
    <s v=""/>
  </r>
  <r>
    <x v="2"/>
    <x v="105"/>
    <x v="18"/>
    <s v="BRL"/>
    <x v="11"/>
    <n v="1"/>
    <n v="95"/>
    <s v="Banco do Brasil"/>
    <n v="95"/>
    <x v="1"/>
    <n v="11"/>
    <x v="1"/>
    <n v="10"/>
    <n v="95"/>
    <n v="95"/>
    <s v=""/>
    <s v=""/>
    <s v=""/>
    <s v=""/>
    <s v=""/>
  </r>
  <r>
    <x v="2"/>
    <x v="106"/>
    <x v="13"/>
    <s v="BRL"/>
    <x v="7"/>
    <n v="1"/>
    <n v="500"/>
    <s v="Banco do Brasil"/>
    <n v="500"/>
    <x v="1"/>
    <n v="11"/>
    <x v="1"/>
    <n v="11"/>
    <n v="515.93333333333328"/>
    <n v="515.93333333333328"/>
    <s v=""/>
    <s v=""/>
    <s v=""/>
    <s v=""/>
    <s v=""/>
  </r>
  <r>
    <x v="2"/>
    <x v="106"/>
    <x v="17"/>
    <s v="BRL"/>
    <x v="10"/>
    <n v="1"/>
    <n v="25"/>
    <s v="Banco do Brasil"/>
    <n v="25"/>
    <x v="1"/>
    <n v="11"/>
    <x v="1"/>
    <n v="11"/>
    <n v="25"/>
    <n v="25"/>
    <s v=""/>
    <s v=""/>
    <s v=""/>
    <s v=""/>
    <s v=""/>
  </r>
  <r>
    <x v="2"/>
    <x v="106"/>
    <x v="12"/>
    <s v="BRL"/>
    <x v="6"/>
    <n v="1"/>
    <n v="205"/>
    <s v="Banco do Brasil"/>
    <n v="205"/>
    <x v="1"/>
    <n v="11"/>
    <x v="1"/>
    <n v="11"/>
    <n v="205"/>
    <n v="205"/>
    <s v=""/>
    <s v=""/>
    <s v=""/>
    <s v=""/>
    <s v=""/>
  </r>
  <r>
    <x v="2"/>
    <x v="106"/>
    <x v="13"/>
    <s v="BRL"/>
    <x v="7"/>
    <n v="1"/>
    <n v="500"/>
    <s v="Banco do Brasil"/>
    <n v="500"/>
    <x v="1"/>
    <n v="11"/>
    <x v="1"/>
    <n v="11"/>
    <n v="515.93333333333328"/>
    <n v="515.93333333333328"/>
    <s v=""/>
    <s v=""/>
    <s v=""/>
    <s v=""/>
    <s v=""/>
  </r>
  <r>
    <x v="2"/>
    <x v="107"/>
    <x v="19"/>
    <s v="BRL"/>
    <x v="12"/>
    <n v="1"/>
    <n v="16.899999999999999"/>
    <s v="Banco do Brasil"/>
    <n v="16.899999999999999"/>
    <x v="1"/>
    <n v="11"/>
    <x v="1"/>
    <n v="12"/>
    <n v="137.33453714285722"/>
    <n v="137.33453714285722"/>
    <s v=""/>
    <s v=""/>
    <s v=""/>
    <s v=""/>
    <s v=""/>
  </r>
  <r>
    <x v="2"/>
    <x v="108"/>
    <x v="20"/>
    <s v="BRL"/>
    <x v="13"/>
    <n v="1"/>
    <n v="39.9"/>
    <s v="Banco do Brasil"/>
    <n v="39.9"/>
    <x v="1"/>
    <n v="11"/>
    <x v="1"/>
    <n v="15"/>
    <n v="59.90000000000002"/>
    <n v="59.90000000000002"/>
    <s v=""/>
    <s v=""/>
    <s v=""/>
    <s v=""/>
    <s v=""/>
  </r>
  <r>
    <x v="2"/>
    <x v="108"/>
    <x v="20"/>
    <s v="BRL"/>
    <x v="14"/>
    <n v="1"/>
    <n v="79.900000000000006"/>
    <s v="Banco do Brasil"/>
    <n v="79.900000000000006"/>
    <x v="1"/>
    <n v="11"/>
    <x v="1"/>
    <n v="15"/>
    <n v="59.90000000000002"/>
    <n v="59.90000000000002"/>
    <s v=""/>
    <s v=""/>
    <s v=""/>
    <s v=""/>
    <s v=""/>
  </r>
  <r>
    <x v="2"/>
    <x v="108"/>
    <x v="21"/>
    <s v="BRL"/>
    <x v="15"/>
    <n v="1"/>
    <n v="110"/>
    <s v="Banco do Brasil"/>
    <n v="110"/>
    <x v="1"/>
    <n v="11"/>
    <x v="1"/>
    <n v="15"/>
    <n v="110"/>
    <n v="110"/>
    <s v=""/>
    <s v=""/>
    <s v=""/>
    <s v=""/>
    <s v=""/>
  </r>
  <r>
    <x v="2"/>
    <x v="108"/>
    <x v="23"/>
    <s v="BRL"/>
    <x v="17"/>
    <n v="1"/>
    <n v="1510.14976"/>
    <s v="Banco do Brasil"/>
    <n v="1510.14976"/>
    <x v="1"/>
    <n v="11"/>
    <x v="1"/>
    <n v="15"/>
    <n v="1629.9930261538464"/>
    <n v="1629.9930261538464"/>
    <s v=""/>
    <s v=""/>
    <s v=""/>
    <s v=""/>
    <s v=""/>
  </r>
  <r>
    <x v="2"/>
    <x v="109"/>
    <x v="24"/>
    <s v="BRL"/>
    <x v="16"/>
    <n v="1"/>
    <n v="95"/>
    <s v="Banco do Brasil"/>
    <n v="95"/>
    <x v="1"/>
    <n v="11"/>
    <x v="1"/>
    <n v="20"/>
    <n v="93.857142857142861"/>
    <n v="93.857142857142861"/>
    <s v=""/>
    <s v=""/>
    <s v=""/>
    <s v=""/>
    <s v=""/>
  </r>
  <r>
    <x v="2"/>
    <x v="110"/>
    <x v="25"/>
    <s v="BRL"/>
    <x v="18"/>
    <n v="1"/>
    <n v="650"/>
    <s v="Banco do Brasil"/>
    <n v="650"/>
    <x v="1"/>
    <n v="11"/>
    <x v="1"/>
    <n v="24"/>
    <n v="650"/>
    <n v="650"/>
    <s v=""/>
    <s v=""/>
    <s v=""/>
    <s v=""/>
    <s v=""/>
  </r>
  <r>
    <x v="2"/>
    <x v="111"/>
    <x v="26"/>
    <s v="BRL"/>
    <x v="19"/>
    <n v="1"/>
    <n v="650"/>
    <s v="Banco do Brasil"/>
    <n v="650"/>
    <x v="1"/>
    <n v="11"/>
    <x v="1"/>
    <n v="28"/>
    <n v="650"/>
    <n v="650"/>
    <s v=""/>
    <s v=""/>
    <s v=""/>
    <s v=""/>
    <s v=""/>
  </r>
  <r>
    <x v="1"/>
    <x v="112"/>
    <x v="9"/>
    <s v="BRL"/>
    <x v="2"/>
    <n v="1"/>
    <n v="8000"/>
    <s v="Banco do Brasil"/>
    <n v="8000"/>
    <x v="1"/>
    <n v="12"/>
    <x v="1"/>
    <n v="5"/>
    <n v="7801.7948717948721"/>
    <n v="7801.7948717948721"/>
    <s v=""/>
    <s v=""/>
    <s v=""/>
    <s v=""/>
    <s v=""/>
  </r>
  <r>
    <x v="0"/>
    <x v="112"/>
    <x v="14"/>
    <n v="0"/>
    <x v="1"/>
    <n v="1"/>
    <n v="3500"/>
    <s v="Investimentos BB"/>
    <n v="3500"/>
    <x v="1"/>
    <n v="12"/>
    <x v="1"/>
    <n v="5"/>
    <e v="#DIV/0!"/>
    <e v="#DIV/0!"/>
    <s v=""/>
    <s v=""/>
    <s v=""/>
    <s v=""/>
    <s v=""/>
  </r>
  <r>
    <x v="2"/>
    <x v="113"/>
    <x v="18"/>
    <s v="BRL"/>
    <x v="11"/>
    <n v="1"/>
    <n v="95"/>
    <s v="Banco do Brasil"/>
    <n v="95"/>
    <x v="1"/>
    <n v="12"/>
    <x v="1"/>
    <n v="10"/>
    <n v="95"/>
    <n v="95"/>
    <s v=""/>
    <s v=""/>
    <s v=""/>
    <s v=""/>
    <s v=""/>
  </r>
  <r>
    <x v="2"/>
    <x v="114"/>
    <x v="13"/>
    <s v="BRL"/>
    <x v="7"/>
    <n v="1"/>
    <n v="500"/>
    <s v="Banco do Brasil"/>
    <n v="500"/>
    <x v="1"/>
    <n v="12"/>
    <x v="1"/>
    <n v="12"/>
    <n v="515.93333333333328"/>
    <n v="515.93333333333328"/>
    <s v=""/>
    <s v=""/>
    <s v=""/>
    <s v=""/>
    <s v=""/>
  </r>
  <r>
    <x v="2"/>
    <x v="114"/>
    <x v="17"/>
    <s v="BRL"/>
    <x v="10"/>
    <n v="1"/>
    <n v="25"/>
    <s v="Banco do Brasil"/>
    <n v="25"/>
    <x v="1"/>
    <n v="12"/>
    <x v="1"/>
    <n v="12"/>
    <n v="25"/>
    <n v="25"/>
    <s v=""/>
    <s v=""/>
    <s v=""/>
    <s v=""/>
    <s v=""/>
  </r>
  <r>
    <x v="2"/>
    <x v="114"/>
    <x v="19"/>
    <s v="BRL"/>
    <x v="12"/>
    <n v="1"/>
    <n v="16.899999999999999"/>
    <s v="Banco do Brasil"/>
    <n v="16.899999999999999"/>
    <x v="1"/>
    <n v="12"/>
    <x v="1"/>
    <n v="12"/>
    <n v="137.33453714285722"/>
    <n v="137.33453714285722"/>
    <s v=""/>
    <s v=""/>
    <s v=""/>
    <s v=""/>
    <s v=""/>
  </r>
  <r>
    <x v="2"/>
    <x v="114"/>
    <x v="12"/>
    <s v="BRL"/>
    <x v="6"/>
    <n v="1"/>
    <n v="205"/>
    <s v="Banco do Brasil"/>
    <n v="205"/>
    <x v="1"/>
    <n v="12"/>
    <x v="1"/>
    <n v="12"/>
    <n v="205"/>
    <n v="205"/>
    <s v=""/>
    <s v=""/>
    <s v=""/>
    <s v=""/>
    <s v=""/>
  </r>
  <r>
    <x v="2"/>
    <x v="114"/>
    <x v="13"/>
    <s v="BRL"/>
    <x v="7"/>
    <n v="1"/>
    <n v="500"/>
    <s v="Banco do Brasil"/>
    <n v="500"/>
    <x v="1"/>
    <n v="12"/>
    <x v="1"/>
    <n v="12"/>
    <n v="515.93333333333328"/>
    <n v="515.93333333333328"/>
    <s v=""/>
    <s v=""/>
    <s v=""/>
    <s v=""/>
    <s v=""/>
  </r>
  <r>
    <x v="2"/>
    <x v="115"/>
    <x v="20"/>
    <s v="BRL"/>
    <x v="13"/>
    <n v="1"/>
    <n v="39.9"/>
    <s v="Banco do Brasil"/>
    <n v="39.9"/>
    <x v="1"/>
    <n v="12"/>
    <x v="1"/>
    <n v="15"/>
    <n v="59.90000000000002"/>
    <n v="59.90000000000002"/>
    <s v=""/>
    <s v=""/>
    <s v=""/>
    <s v=""/>
    <s v=""/>
  </r>
  <r>
    <x v="2"/>
    <x v="115"/>
    <x v="20"/>
    <s v="BRL"/>
    <x v="14"/>
    <n v="1"/>
    <n v="79.900000000000006"/>
    <s v="Banco do Brasil"/>
    <n v="79.900000000000006"/>
    <x v="1"/>
    <n v="12"/>
    <x v="1"/>
    <n v="15"/>
    <n v="59.90000000000002"/>
    <n v="59.90000000000002"/>
    <s v=""/>
    <s v=""/>
    <s v=""/>
    <s v=""/>
    <s v=""/>
  </r>
  <r>
    <x v="2"/>
    <x v="115"/>
    <x v="21"/>
    <s v="BRL"/>
    <x v="15"/>
    <n v="1"/>
    <n v="110"/>
    <s v="Banco do Brasil"/>
    <n v="110"/>
    <x v="1"/>
    <n v="12"/>
    <x v="1"/>
    <n v="15"/>
    <n v="110"/>
    <n v="110"/>
    <s v=""/>
    <s v=""/>
    <s v=""/>
    <s v=""/>
    <s v=""/>
  </r>
  <r>
    <x v="2"/>
    <x v="115"/>
    <x v="23"/>
    <s v="BRL"/>
    <x v="17"/>
    <n v="1"/>
    <n v="1564.7505600000002"/>
    <s v="Banco do Brasil"/>
    <n v="1564.7505600000002"/>
    <x v="1"/>
    <n v="12"/>
    <x v="1"/>
    <n v="15"/>
    <n v="1629.9930261538464"/>
    <n v="1629.9930261538464"/>
    <s v=""/>
    <s v=""/>
    <s v=""/>
    <s v=""/>
    <s v=""/>
  </r>
  <r>
    <x v="2"/>
    <x v="116"/>
    <x v="24"/>
    <s v="BRL"/>
    <x v="16"/>
    <n v="1"/>
    <n v="95"/>
    <s v="Banco do Brasil"/>
    <n v="95"/>
    <x v="1"/>
    <n v="12"/>
    <x v="1"/>
    <n v="20"/>
    <n v="93.857142857142861"/>
    <n v="93.857142857142861"/>
    <s v=""/>
    <s v=""/>
    <s v=""/>
    <s v=""/>
    <s v=""/>
  </r>
  <r>
    <x v="2"/>
    <x v="117"/>
    <x v="25"/>
    <s v="BRL"/>
    <x v="18"/>
    <n v="1"/>
    <n v="650"/>
    <s v="Banco do Brasil"/>
    <n v="650"/>
    <x v="1"/>
    <n v="12"/>
    <x v="1"/>
    <n v="24"/>
    <n v="650"/>
    <n v="650"/>
    <s v=""/>
    <s v=""/>
    <s v=""/>
    <s v=""/>
    <s v=""/>
  </r>
  <r>
    <x v="2"/>
    <x v="118"/>
    <x v="26"/>
    <s v="BRL"/>
    <x v="19"/>
    <n v="1"/>
    <n v="650"/>
    <s v="Banco do Brasil"/>
    <n v="650"/>
    <x v="1"/>
    <n v="12"/>
    <x v="1"/>
    <n v="28"/>
    <n v="650"/>
    <n v="650"/>
    <s v=""/>
    <s v=""/>
    <s v=""/>
    <s v=""/>
    <s v=""/>
  </r>
  <r>
    <x v="1"/>
    <x v="119"/>
    <x v="9"/>
    <s v="BRL"/>
    <x v="2"/>
    <n v="1"/>
    <n v="8000"/>
    <s v="Banco do Brasil"/>
    <n v="8000"/>
    <x v="1"/>
    <n v="1"/>
    <x v="2"/>
    <n v="5"/>
    <n v="7801.7948717948721"/>
    <n v="7801.7948717948721"/>
    <s v=""/>
    <s v=""/>
    <s v=""/>
    <s v=""/>
    <s v=""/>
  </r>
  <r>
    <x v="0"/>
    <x v="119"/>
    <x v="14"/>
    <n v="0"/>
    <x v="1"/>
    <n v="1"/>
    <n v="4000"/>
    <s v="Investimentos BB"/>
    <n v="4000"/>
    <x v="1"/>
    <n v="1"/>
    <x v="2"/>
    <n v="5"/>
    <e v="#DIV/0!"/>
    <e v="#DIV/0!"/>
    <s v=""/>
    <s v=""/>
    <s v=""/>
    <s v=""/>
    <s v=""/>
  </r>
  <r>
    <x v="2"/>
    <x v="120"/>
    <x v="23"/>
    <s v="BRL"/>
    <x v="17"/>
    <n v="1"/>
    <n v="1615.1521"/>
    <s v="Banco do Brasil"/>
    <n v="1615.1521"/>
    <x v="1"/>
    <n v="1"/>
    <x v="2"/>
    <n v="15"/>
    <n v="1629.9930261538464"/>
    <n v="1629.9930261538464"/>
    <s v=""/>
    <s v=""/>
    <s v=""/>
    <s v=""/>
    <s v=""/>
  </r>
  <r>
    <x v="2"/>
    <x v="120"/>
    <x v="20"/>
    <s v="BRL"/>
    <x v="13"/>
    <n v="1"/>
    <n v="39.9"/>
    <s v="Banco do Brasil"/>
    <n v="39.9"/>
    <x v="1"/>
    <n v="1"/>
    <x v="2"/>
    <n v="15"/>
    <n v="59.90000000000002"/>
    <n v="59.90000000000002"/>
    <s v=""/>
    <s v=""/>
    <s v=""/>
    <s v=""/>
    <s v=""/>
  </r>
  <r>
    <x v="2"/>
    <x v="120"/>
    <x v="20"/>
    <s v="BRL"/>
    <x v="14"/>
    <n v="1"/>
    <n v="79.900000000000006"/>
    <s v="Banco do Brasil"/>
    <n v="79.900000000000006"/>
    <x v="1"/>
    <n v="1"/>
    <x v="2"/>
    <n v="15"/>
    <n v="59.90000000000002"/>
    <n v="59.90000000000002"/>
    <s v=""/>
    <s v=""/>
    <s v=""/>
    <s v=""/>
    <s v=""/>
  </r>
  <r>
    <x v="2"/>
    <x v="120"/>
    <x v="21"/>
    <s v="BRL"/>
    <x v="15"/>
    <n v="1"/>
    <n v="110"/>
    <s v="Banco do Brasil"/>
    <n v="110"/>
    <x v="1"/>
    <n v="1"/>
    <x v="2"/>
    <n v="15"/>
    <n v="110"/>
    <n v="110"/>
    <s v=""/>
    <s v=""/>
    <s v=""/>
    <s v=""/>
    <s v=""/>
  </r>
  <r>
    <x v="2"/>
    <x v="120"/>
    <x v="17"/>
    <s v="BRL"/>
    <x v="10"/>
    <n v="1"/>
    <n v="25"/>
    <s v="Banco do Brasil"/>
    <n v="25"/>
    <x v="1"/>
    <n v="1"/>
    <x v="2"/>
    <n v="15"/>
    <n v="25"/>
    <n v="25"/>
    <s v=""/>
    <s v=""/>
    <s v=""/>
    <s v=""/>
    <s v=""/>
  </r>
  <r>
    <x v="1"/>
    <x v="121"/>
    <x v="9"/>
    <s v="BRL"/>
    <x v="2"/>
    <n v="1"/>
    <n v="8000"/>
    <s v="Banco do Brasil"/>
    <n v="8000"/>
    <x v="1"/>
    <n v="2"/>
    <x v="2"/>
    <n v="5"/>
    <n v="7801.7948717948721"/>
    <n v="7801.7948717948721"/>
    <s v=""/>
    <s v=""/>
    <s v=""/>
    <s v=""/>
    <s v=""/>
  </r>
  <r>
    <x v="0"/>
    <x v="121"/>
    <x v="14"/>
    <n v="0"/>
    <x v="1"/>
    <n v="1"/>
    <n v="4000"/>
    <s v="Investimentos BB"/>
    <n v="4000"/>
    <x v="1"/>
    <n v="2"/>
    <x v="2"/>
    <n v="5"/>
    <e v="#DIV/0!"/>
    <e v="#DIV/0!"/>
    <s v=""/>
    <s v=""/>
    <s v=""/>
    <s v=""/>
    <s v=""/>
  </r>
  <r>
    <x v="2"/>
    <x v="122"/>
    <x v="23"/>
    <s v="BRL"/>
    <x v="17"/>
    <n v="1"/>
    <n v="1665.5536400000001"/>
    <s v="Banco do Brasil"/>
    <n v="1665.5536400000001"/>
    <x v="1"/>
    <n v="2"/>
    <x v="2"/>
    <n v="15"/>
    <n v="1629.9930261538464"/>
    <n v="1629.9930261538464"/>
    <s v=""/>
    <s v=""/>
    <s v=""/>
    <s v=""/>
    <s v=""/>
  </r>
  <r>
    <x v="2"/>
    <x v="122"/>
    <x v="20"/>
    <s v="BRL"/>
    <x v="13"/>
    <n v="1"/>
    <n v="39.9"/>
    <s v="Banco do Brasil"/>
    <n v="39.9"/>
    <x v="1"/>
    <n v="2"/>
    <x v="2"/>
    <n v="15"/>
    <n v="59.90000000000002"/>
    <n v="59.90000000000002"/>
    <s v=""/>
    <s v=""/>
    <s v=""/>
    <s v=""/>
    <s v=""/>
  </r>
  <r>
    <x v="2"/>
    <x v="122"/>
    <x v="20"/>
    <s v="BRL"/>
    <x v="14"/>
    <n v="1"/>
    <n v="79.900000000000006"/>
    <s v="Banco do Brasil"/>
    <n v="79.900000000000006"/>
    <x v="1"/>
    <n v="2"/>
    <x v="2"/>
    <n v="15"/>
    <n v="59.90000000000002"/>
    <n v="59.90000000000002"/>
    <s v=""/>
    <s v=""/>
    <s v=""/>
    <s v=""/>
    <s v=""/>
  </r>
  <r>
    <x v="2"/>
    <x v="122"/>
    <x v="21"/>
    <s v="BRL"/>
    <x v="15"/>
    <n v="1"/>
    <n v="110"/>
    <s v="Banco do Brasil"/>
    <n v="110"/>
    <x v="1"/>
    <n v="2"/>
    <x v="2"/>
    <n v="15"/>
    <n v="110"/>
    <n v="110"/>
    <s v=""/>
    <s v=""/>
    <s v=""/>
    <s v=""/>
    <s v=""/>
  </r>
  <r>
    <x v="2"/>
    <x v="122"/>
    <x v="17"/>
    <s v="BRL"/>
    <x v="10"/>
    <n v="1"/>
    <n v="25"/>
    <s v="Banco do Brasil"/>
    <n v="25"/>
    <x v="1"/>
    <n v="2"/>
    <x v="2"/>
    <n v="15"/>
    <n v="25"/>
    <n v="25"/>
    <s v=""/>
    <s v=""/>
    <s v=""/>
    <s v=""/>
    <s v=""/>
  </r>
  <r>
    <x v="1"/>
    <x v="123"/>
    <x v="9"/>
    <s v="BRL"/>
    <x v="2"/>
    <n v="1"/>
    <n v="8000"/>
    <s v="Banco do Brasil"/>
    <n v="8000"/>
    <x v="1"/>
    <n v="3"/>
    <x v="2"/>
    <n v="5"/>
    <n v="7801.7948717948721"/>
    <n v="7801.7948717948721"/>
    <s v=""/>
    <s v=""/>
    <s v=""/>
    <s v=""/>
    <s v=""/>
  </r>
  <r>
    <x v="0"/>
    <x v="123"/>
    <x v="14"/>
    <n v="0"/>
    <x v="1"/>
    <n v="1"/>
    <n v="4000"/>
    <s v="Investimentos BB"/>
    <n v="4000"/>
    <x v="1"/>
    <n v="3"/>
    <x v="2"/>
    <n v="5"/>
    <e v="#DIV/0!"/>
    <e v="#DIV/0!"/>
    <s v=""/>
    <s v=""/>
    <s v=""/>
    <s v=""/>
    <s v=""/>
  </r>
  <r>
    <x v="2"/>
    <x v="124"/>
    <x v="23"/>
    <s v="BRL"/>
    <x v="17"/>
    <n v="1"/>
    <n v="1713.4439600000001"/>
    <s v="Banco do Brasil"/>
    <n v="1713.4439600000001"/>
    <x v="1"/>
    <n v="3"/>
    <x v="2"/>
    <n v="15"/>
    <n v="1629.9930261538464"/>
    <n v="1629.9930261538464"/>
    <s v=""/>
    <s v=""/>
    <s v=""/>
    <s v=""/>
    <s v=""/>
  </r>
  <r>
    <x v="2"/>
    <x v="124"/>
    <x v="20"/>
    <s v="BRL"/>
    <x v="13"/>
    <n v="1"/>
    <n v="39.9"/>
    <s v="Banco do Brasil"/>
    <n v="39.9"/>
    <x v="1"/>
    <n v="3"/>
    <x v="2"/>
    <n v="15"/>
    <n v="59.90000000000002"/>
    <n v="59.90000000000002"/>
    <s v=""/>
    <s v=""/>
    <s v=""/>
    <s v=""/>
    <s v=""/>
  </r>
  <r>
    <x v="2"/>
    <x v="124"/>
    <x v="20"/>
    <s v="BRL"/>
    <x v="14"/>
    <n v="1"/>
    <n v="79.900000000000006"/>
    <s v="Banco do Brasil"/>
    <n v="79.900000000000006"/>
    <x v="1"/>
    <n v="3"/>
    <x v="2"/>
    <n v="15"/>
    <n v="59.90000000000002"/>
    <n v="59.90000000000002"/>
    <s v=""/>
    <s v=""/>
    <s v=""/>
    <s v=""/>
    <s v=""/>
  </r>
  <r>
    <x v="2"/>
    <x v="124"/>
    <x v="21"/>
    <s v="BRL"/>
    <x v="15"/>
    <n v="1"/>
    <n v="110"/>
    <s v="Banco do Brasil"/>
    <n v="110"/>
    <x v="1"/>
    <n v="3"/>
    <x v="2"/>
    <n v="15"/>
    <n v="110"/>
    <n v="110"/>
    <s v=""/>
    <s v=""/>
    <s v=""/>
    <s v=""/>
    <s v=""/>
  </r>
  <r>
    <x v="2"/>
    <x v="124"/>
    <x v="17"/>
    <s v="BRL"/>
    <x v="10"/>
    <n v="1"/>
    <n v="25"/>
    <s v="Banco do Brasil"/>
    <n v="25"/>
    <x v="1"/>
    <n v="3"/>
    <x v="2"/>
    <n v="15"/>
    <n v="25"/>
    <n v="25"/>
    <s v=""/>
    <s v=""/>
    <s v=""/>
    <s v=""/>
    <s v=""/>
  </r>
  <r>
    <x v="1"/>
    <x v="125"/>
    <x v="9"/>
    <s v="BRL"/>
    <x v="2"/>
    <n v="1"/>
    <n v="8000"/>
    <s v="Banco do Brasil"/>
    <n v="8000"/>
    <x v="1"/>
    <n v="4"/>
    <x v="2"/>
    <n v="5"/>
    <n v="7801.7948717948721"/>
    <n v="7801.7948717948721"/>
    <s v=""/>
    <s v=""/>
    <s v=""/>
    <s v=""/>
    <s v=""/>
  </r>
  <r>
    <x v="0"/>
    <x v="125"/>
    <x v="14"/>
    <n v="0"/>
    <x v="1"/>
    <n v="1"/>
    <n v="4000"/>
    <s v="Investimentos BB"/>
    <n v="4000"/>
    <x v="1"/>
    <n v="4"/>
    <x v="2"/>
    <n v="5"/>
    <e v="#DIV/0!"/>
    <e v="#DIV/0!"/>
    <s v=""/>
    <s v=""/>
    <s v=""/>
    <s v=""/>
    <s v=""/>
  </r>
  <r>
    <x v="2"/>
    <x v="126"/>
    <x v="23"/>
    <s v="BRL"/>
    <x v="17"/>
    <n v="1"/>
    <n v="1760.47984"/>
    <s v="Banco do Brasil"/>
    <n v="1760.47984"/>
    <x v="1"/>
    <n v="4"/>
    <x v="2"/>
    <n v="15"/>
    <n v="1629.9930261538464"/>
    <n v="1629.9930261538464"/>
    <s v=""/>
    <s v=""/>
    <s v=""/>
    <s v=""/>
    <s v=""/>
  </r>
  <r>
    <x v="2"/>
    <x v="126"/>
    <x v="20"/>
    <s v="BRL"/>
    <x v="13"/>
    <n v="1"/>
    <n v="39.9"/>
    <s v="Banco do Brasil"/>
    <n v="39.9"/>
    <x v="1"/>
    <n v="4"/>
    <x v="2"/>
    <n v="15"/>
    <n v="59.90000000000002"/>
    <n v="59.90000000000002"/>
    <s v=""/>
    <s v=""/>
    <s v=""/>
    <s v=""/>
    <s v=""/>
  </r>
  <r>
    <x v="2"/>
    <x v="126"/>
    <x v="20"/>
    <s v="BRL"/>
    <x v="14"/>
    <n v="1"/>
    <n v="79.900000000000006"/>
    <s v="Banco do Brasil"/>
    <n v="79.900000000000006"/>
    <x v="1"/>
    <n v="4"/>
    <x v="2"/>
    <n v="15"/>
    <n v="59.90000000000002"/>
    <n v="59.90000000000002"/>
    <s v=""/>
    <s v=""/>
    <s v=""/>
    <s v=""/>
    <s v=""/>
  </r>
  <r>
    <x v="2"/>
    <x v="126"/>
    <x v="21"/>
    <s v="BRL"/>
    <x v="15"/>
    <n v="1"/>
    <n v="110"/>
    <s v="Banco do Brasil"/>
    <n v="110"/>
    <x v="1"/>
    <n v="4"/>
    <x v="2"/>
    <n v="15"/>
    <n v="110"/>
    <n v="110"/>
    <s v=""/>
    <s v=""/>
    <s v=""/>
    <s v=""/>
    <s v=""/>
  </r>
  <r>
    <x v="2"/>
    <x v="126"/>
    <x v="17"/>
    <s v="BRL"/>
    <x v="10"/>
    <n v="1"/>
    <n v="25"/>
    <s v="Banco do Brasil"/>
    <n v="25"/>
    <x v="1"/>
    <n v="4"/>
    <x v="2"/>
    <n v="15"/>
    <n v="25"/>
    <n v="25"/>
    <s v=""/>
    <s v=""/>
    <s v=""/>
    <s v=""/>
    <s v=""/>
  </r>
  <r>
    <x v="1"/>
    <x v="127"/>
    <x v="9"/>
    <s v="BRL"/>
    <x v="2"/>
    <n v="1"/>
    <n v="8000"/>
    <s v="Banco do Brasil"/>
    <n v="8000"/>
    <x v="1"/>
    <n v="5"/>
    <x v="2"/>
    <n v="5"/>
    <n v="7801.7948717948721"/>
    <n v="7801.7948717948721"/>
    <s v=""/>
    <s v=""/>
    <s v=""/>
    <s v=""/>
    <s v=""/>
  </r>
  <r>
    <x v="0"/>
    <x v="127"/>
    <x v="14"/>
    <n v="0"/>
    <x v="1"/>
    <n v="1"/>
    <n v="4000"/>
    <s v="Investimentos BB"/>
    <n v="4000"/>
    <x v="1"/>
    <n v="5"/>
    <x v="2"/>
    <n v="5"/>
    <e v="#DIV/0!"/>
    <e v="#DIV/0!"/>
    <s v=""/>
    <s v=""/>
    <s v=""/>
    <s v=""/>
    <s v=""/>
  </r>
  <r>
    <x v="2"/>
    <x v="128"/>
    <x v="23"/>
    <s v="BRL"/>
    <x v="17"/>
    <n v="1"/>
    <n v="1785.6858200000001"/>
    <s v="Banco do Brasil"/>
    <n v="1785.6858200000001"/>
    <x v="1"/>
    <n v="5"/>
    <x v="2"/>
    <n v="15"/>
    <n v="1629.9930261538464"/>
    <n v="1629.9930261538464"/>
    <s v=""/>
    <s v=""/>
    <s v=""/>
    <s v=""/>
    <s v=""/>
  </r>
  <r>
    <x v="2"/>
    <x v="128"/>
    <x v="20"/>
    <s v="BRL"/>
    <x v="13"/>
    <n v="1"/>
    <n v="39.9"/>
    <s v="Banco do Brasil"/>
    <n v="39.9"/>
    <x v="1"/>
    <n v="5"/>
    <x v="2"/>
    <n v="15"/>
    <n v="59.90000000000002"/>
    <n v="59.90000000000002"/>
    <s v=""/>
    <s v=""/>
    <s v=""/>
    <s v=""/>
    <s v=""/>
  </r>
  <r>
    <x v="2"/>
    <x v="128"/>
    <x v="20"/>
    <s v="BRL"/>
    <x v="14"/>
    <n v="1"/>
    <n v="79.900000000000006"/>
    <s v="Banco do Brasil"/>
    <n v="79.900000000000006"/>
    <x v="1"/>
    <n v="5"/>
    <x v="2"/>
    <n v="15"/>
    <n v="59.90000000000002"/>
    <n v="59.90000000000002"/>
    <s v=""/>
    <s v=""/>
    <s v=""/>
    <s v=""/>
    <s v=""/>
  </r>
  <r>
    <x v="2"/>
    <x v="128"/>
    <x v="21"/>
    <s v="BRL"/>
    <x v="15"/>
    <n v="1"/>
    <n v="110"/>
    <s v="Banco do Brasil"/>
    <n v="110"/>
    <x v="1"/>
    <n v="5"/>
    <x v="2"/>
    <n v="15"/>
    <n v="110"/>
    <n v="110"/>
    <s v=""/>
    <s v=""/>
    <s v=""/>
    <s v=""/>
    <s v=""/>
  </r>
  <r>
    <x v="2"/>
    <x v="128"/>
    <x v="17"/>
    <s v="BRL"/>
    <x v="10"/>
    <n v="1"/>
    <n v="25"/>
    <s v="Banco do Brasil"/>
    <n v="25"/>
    <x v="1"/>
    <n v="5"/>
    <x v="2"/>
    <n v="15"/>
    <n v="25"/>
    <n v="25"/>
    <s v=""/>
    <s v=""/>
    <s v=""/>
    <s v=""/>
    <s v=""/>
  </r>
  <r>
    <x v="1"/>
    <x v="129"/>
    <x v="9"/>
    <s v="BRL"/>
    <x v="2"/>
    <n v="1"/>
    <n v="8000"/>
    <s v="Banco do Brasil"/>
    <n v="8000"/>
    <x v="1"/>
    <n v="6"/>
    <x v="2"/>
    <n v="5"/>
    <n v="7801.7948717948721"/>
    <n v="7801.7948717948721"/>
    <s v=""/>
    <s v=""/>
    <s v=""/>
    <s v=""/>
    <s v=""/>
  </r>
  <r>
    <x v="0"/>
    <x v="129"/>
    <x v="14"/>
    <n v="0"/>
    <x v="1"/>
    <n v="1"/>
    <n v="4000"/>
    <s v="Investimentos BB"/>
    <n v="4000"/>
    <x v="1"/>
    <n v="6"/>
    <x v="2"/>
    <n v="5"/>
    <e v="#DIV/0!"/>
    <e v="#DIV/0!"/>
    <s v=""/>
    <s v=""/>
    <s v=""/>
    <s v=""/>
    <s v=""/>
  </r>
  <r>
    <x v="2"/>
    <x v="130"/>
    <x v="23"/>
    <s v="BRL"/>
    <x v="17"/>
    <n v="1"/>
    <n v="1810.88138"/>
    <s v="Banco do Brasil"/>
    <n v="1810.88138"/>
    <x v="1"/>
    <n v="6"/>
    <x v="2"/>
    <n v="15"/>
    <n v="1629.9930261538464"/>
    <n v="1629.9930261538464"/>
    <s v=""/>
    <s v=""/>
    <s v=""/>
    <s v=""/>
    <s v=""/>
  </r>
  <r>
    <x v="2"/>
    <x v="130"/>
    <x v="20"/>
    <s v="BRL"/>
    <x v="13"/>
    <n v="1"/>
    <n v="39.9"/>
    <s v="Banco do Brasil"/>
    <n v="39.9"/>
    <x v="1"/>
    <n v="6"/>
    <x v="2"/>
    <n v="15"/>
    <n v="59.90000000000002"/>
    <n v="59.90000000000002"/>
    <s v=""/>
    <s v=""/>
    <s v=""/>
    <s v=""/>
    <s v=""/>
  </r>
  <r>
    <x v="2"/>
    <x v="130"/>
    <x v="20"/>
    <s v="BRL"/>
    <x v="14"/>
    <n v="1"/>
    <n v="79.900000000000006"/>
    <s v="Banco do Brasil"/>
    <n v="79.900000000000006"/>
    <x v="1"/>
    <n v="6"/>
    <x v="2"/>
    <n v="15"/>
    <n v="59.90000000000002"/>
    <n v="59.90000000000002"/>
    <s v=""/>
    <s v=""/>
    <s v=""/>
    <s v=""/>
    <s v=""/>
  </r>
  <r>
    <x v="2"/>
    <x v="130"/>
    <x v="21"/>
    <s v="BRL"/>
    <x v="15"/>
    <n v="1"/>
    <n v="110"/>
    <s v="Banco do Brasil"/>
    <n v="110"/>
    <x v="1"/>
    <n v="6"/>
    <x v="2"/>
    <n v="15"/>
    <n v="110"/>
    <n v="110"/>
    <s v=""/>
    <s v=""/>
    <s v=""/>
    <s v=""/>
    <s v=""/>
  </r>
  <r>
    <x v="2"/>
    <x v="130"/>
    <x v="17"/>
    <s v="BRL"/>
    <x v="10"/>
    <n v="1"/>
    <n v="25"/>
    <s v="Banco do Brasil"/>
    <n v="25"/>
    <x v="1"/>
    <n v="6"/>
    <x v="2"/>
    <n v="15"/>
    <n v="25"/>
    <n v="25"/>
    <s v=""/>
    <s v=""/>
    <s v=""/>
    <s v=""/>
    <s v=""/>
  </r>
  <r>
    <x v="1"/>
    <x v="131"/>
    <x v="9"/>
    <s v="BRL"/>
    <x v="2"/>
    <n v="1"/>
    <n v="8000"/>
    <s v="Banco do Brasil"/>
    <n v="8000"/>
    <x v="1"/>
    <n v="7"/>
    <x v="2"/>
    <n v="5"/>
    <n v="7801.7948717948721"/>
    <n v="7801.7948717948721"/>
    <s v=""/>
    <s v=""/>
    <s v=""/>
    <s v=""/>
    <s v=""/>
  </r>
  <r>
    <x v="0"/>
    <x v="131"/>
    <x v="14"/>
    <n v="0"/>
    <x v="1"/>
    <n v="1"/>
    <n v="4000"/>
    <s v="Investimentos BB"/>
    <n v="4000"/>
    <x v="1"/>
    <n v="7"/>
    <x v="2"/>
    <n v="5"/>
    <e v="#DIV/0!"/>
    <e v="#DIV/0!"/>
    <s v=""/>
    <s v=""/>
    <s v=""/>
    <s v=""/>
    <s v=""/>
  </r>
  <r>
    <x v="2"/>
    <x v="132"/>
    <x v="23"/>
    <s v="BRL"/>
    <x v="17"/>
    <n v="1"/>
    <n v="1836.08736"/>
    <s v="Banco do Brasil"/>
    <n v="1836.08736"/>
    <x v="1"/>
    <n v="7"/>
    <x v="2"/>
    <n v="15"/>
    <n v="1629.9930261538464"/>
    <n v="1629.9930261538464"/>
    <s v=""/>
    <s v=""/>
    <s v=""/>
    <s v=""/>
    <s v=""/>
  </r>
  <r>
    <x v="2"/>
    <x v="132"/>
    <x v="20"/>
    <s v="BRL"/>
    <x v="13"/>
    <n v="1"/>
    <n v="39.9"/>
    <s v="Banco do Brasil"/>
    <n v="39.9"/>
    <x v="1"/>
    <n v="7"/>
    <x v="2"/>
    <n v="15"/>
    <n v="59.90000000000002"/>
    <n v="59.90000000000002"/>
    <s v=""/>
    <s v=""/>
    <s v=""/>
    <s v=""/>
    <s v=""/>
  </r>
  <r>
    <x v="2"/>
    <x v="132"/>
    <x v="20"/>
    <s v="BRL"/>
    <x v="14"/>
    <n v="1"/>
    <n v="79.900000000000006"/>
    <s v="Banco do Brasil"/>
    <n v="79.900000000000006"/>
    <x v="1"/>
    <n v="7"/>
    <x v="2"/>
    <n v="15"/>
    <n v="59.90000000000002"/>
    <n v="59.90000000000002"/>
    <s v=""/>
    <s v=""/>
    <s v=""/>
    <s v=""/>
    <s v=""/>
  </r>
  <r>
    <x v="2"/>
    <x v="132"/>
    <x v="21"/>
    <s v="BRL"/>
    <x v="15"/>
    <n v="1"/>
    <n v="110"/>
    <s v="Banco do Brasil"/>
    <n v="110"/>
    <x v="1"/>
    <n v="7"/>
    <x v="2"/>
    <n v="15"/>
    <n v="110"/>
    <n v="110"/>
    <s v=""/>
    <s v=""/>
    <s v=""/>
    <s v=""/>
    <s v=""/>
  </r>
  <r>
    <x v="2"/>
    <x v="132"/>
    <x v="17"/>
    <s v="BRL"/>
    <x v="10"/>
    <n v="1"/>
    <n v="25"/>
    <s v="Banco do Brasil"/>
    <n v="25"/>
    <x v="1"/>
    <n v="7"/>
    <x v="2"/>
    <n v="15"/>
    <n v="25"/>
    <n v="25"/>
    <s v=""/>
    <s v=""/>
    <s v=""/>
    <s v=""/>
    <s v=""/>
  </r>
  <r>
    <x v="1"/>
    <x v="133"/>
    <x v="9"/>
    <s v="BRL"/>
    <x v="2"/>
    <n v="1"/>
    <n v="8000"/>
    <s v="Banco do Brasil"/>
    <n v="8000"/>
    <x v="1"/>
    <n v="8"/>
    <x v="2"/>
    <n v="5"/>
    <n v="7801.7948717948721"/>
    <n v="7801.7948717948721"/>
    <s v=""/>
    <s v=""/>
    <s v=""/>
    <s v=""/>
    <s v=""/>
  </r>
  <r>
    <x v="0"/>
    <x v="133"/>
    <x v="14"/>
    <n v="0"/>
    <x v="1"/>
    <n v="1"/>
    <n v="4000"/>
    <s v="Investimentos BB"/>
    <n v="4000"/>
    <x v="1"/>
    <n v="8"/>
    <x v="2"/>
    <n v="5"/>
    <e v="#DIV/0!"/>
    <e v="#DIV/0!"/>
    <s v=""/>
    <s v=""/>
    <s v=""/>
    <s v=""/>
    <s v=""/>
  </r>
  <r>
    <x v="2"/>
    <x v="134"/>
    <x v="23"/>
    <s v="BRL"/>
    <x v="17"/>
    <n v="1"/>
    <n v="1856.08736"/>
    <s v="Banco do Brasil"/>
    <n v="1856.08736"/>
    <x v="1"/>
    <n v="8"/>
    <x v="2"/>
    <n v="15"/>
    <n v="1629.9930261538464"/>
    <n v="1629.9930261538464"/>
    <s v=""/>
    <s v=""/>
    <s v=""/>
    <s v=""/>
    <s v=""/>
  </r>
  <r>
    <x v="2"/>
    <x v="134"/>
    <x v="20"/>
    <s v="BRL"/>
    <x v="13"/>
    <n v="1"/>
    <n v="39.9"/>
    <s v="Banco do Brasil"/>
    <n v="39.9"/>
    <x v="1"/>
    <n v="8"/>
    <x v="2"/>
    <n v="15"/>
    <n v="59.90000000000002"/>
    <n v="59.90000000000002"/>
    <s v=""/>
    <s v=""/>
    <s v=""/>
    <s v=""/>
    <s v=""/>
  </r>
  <r>
    <x v="2"/>
    <x v="134"/>
    <x v="20"/>
    <s v="BRL"/>
    <x v="14"/>
    <n v="1"/>
    <n v="79.900000000000006"/>
    <s v="Banco do Brasil"/>
    <n v="79.900000000000006"/>
    <x v="1"/>
    <n v="8"/>
    <x v="2"/>
    <n v="15"/>
    <n v="59.90000000000002"/>
    <n v="59.90000000000002"/>
    <s v=""/>
    <s v=""/>
    <s v=""/>
    <s v=""/>
    <s v=""/>
  </r>
  <r>
    <x v="2"/>
    <x v="134"/>
    <x v="21"/>
    <s v="BRL"/>
    <x v="15"/>
    <n v="1"/>
    <n v="110"/>
    <s v="Banco do Brasil"/>
    <n v="110"/>
    <x v="1"/>
    <n v="8"/>
    <x v="2"/>
    <n v="15"/>
    <n v="110"/>
    <n v="110"/>
    <s v=""/>
    <s v=""/>
    <s v=""/>
    <s v=""/>
    <s v=""/>
  </r>
  <r>
    <x v="2"/>
    <x v="134"/>
    <x v="17"/>
    <s v="BRL"/>
    <x v="10"/>
    <n v="1"/>
    <n v="25"/>
    <s v="Banco do Brasil"/>
    <n v="25"/>
    <x v="1"/>
    <n v="8"/>
    <x v="2"/>
    <n v="15"/>
    <n v="25"/>
    <n v="25"/>
    <s v=""/>
    <s v=""/>
    <s v=""/>
    <s v=""/>
    <s v=""/>
  </r>
  <r>
    <x v="1"/>
    <x v="135"/>
    <x v="9"/>
    <s v="BRL"/>
    <x v="2"/>
    <n v="1"/>
    <n v="8000"/>
    <s v="Banco do Brasil"/>
    <n v="8000"/>
    <x v="1"/>
    <n v="9"/>
    <x v="2"/>
    <n v="5"/>
    <n v="7801.7948717948721"/>
    <n v="7801.7948717948721"/>
    <s v=""/>
    <s v=""/>
    <s v=""/>
    <s v=""/>
    <s v=""/>
  </r>
  <r>
    <x v="0"/>
    <x v="135"/>
    <x v="14"/>
    <n v="0"/>
    <x v="1"/>
    <n v="1"/>
    <n v="4000"/>
    <s v="Investimentos BB"/>
    <n v="4000"/>
    <x v="1"/>
    <n v="9"/>
    <x v="2"/>
    <n v="5"/>
    <e v="#DIV/0!"/>
    <e v="#DIV/0!"/>
    <s v=""/>
    <s v=""/>
    <s v=""/>
    <s v=""/>
    <s v=""/>
  </r>
  <r>
    <x v="2"/>
    <x v="136"/>
    <x v="23"/>
    <s v="BRL"/>
    <x v="17"/>
    <n v="1"/>
    <n v="1861.2933399999999"/>
    <s v="Banco do Brasil"/>
    <n v="1861.2933399999999"/>
    <x v="1"/>
    <n v="9"/>
    <x v="2"/>
    <n v="15"/>
    <n v="1629.9930261538464"/>
    <n v="1629.9930261538464"/>
    <s v=""/>
    <s v=""/>
    <s v=""/>
    <s v=""/>
    <s v=""/>
  </r>
  <r>
    <x v="2"/>
    <x v="136"/>
    <x v="20"/>
    <s v="BRL"/>
    <x v="13"/>
    <n v="1"/>
    <n v="39.9"/>
    <s v="Banco do Brasil"/>
    <n v="39.9"/>
    <x v="1"/>
    <n v="9"/>
    <x v="2"/>
    <n v="15"/>
    <n v="59.90000000000002"/>
    <n v="59.90000000000002"/>
    <s v=""/>
    <s v=""/>
    <s v=""/>
    <s v=""/>
    <s v=""/>
  </r>
  <r>
    <x v="2"/>
    <x v="136"/>
    <x v="20"/>
    <s v="BRL"/>
    <x v="14"/>
    <n v="1"/>
    <n v="79.900000000000006"/>
    <s v="Banco do Brasil"/>
    <n v="79.900000000000006"/>
    <x v="1"/>
    <n v="9"/>
    <x v="2"/>
    <n v="15"/>
    <n v="59.90000000000002"/>
    <n v="59.90000000000002"/>
    <s v=""/>
    <s v=""/>
    <s v=""/>
    <s v=""/>
    <s v=""/>
  </r>
  <r>
    <x v="2"/>
    <x v="136"/>
    <x v="21"/>
    <s v="BRL"/>
    <x v="15"/>
    <n v="1"/>
    <n v="110"/>
    <s v="Banco do Brasil"/>
    <n v="110"/>
    <x v="1"/>
    <n v="9"/>
    <x v="2"/>
    <n v="15"/>
    <n v="110"/>
    <n v="110"/>
    <s v=""/>
    <s v=""/>
    <s v=""/>
    <s v=""/>
    <s v=""/>
  </r>
  <r>
    <x v="2"/>
    <x v="136"/>
    <x v="17"/>
    <s v="BRL"/>
    <x v="10"/>
    <n v="1"/>
    <n v="25"/>
    <s v="Banco do Brasil"/>
    <n v="25"/>
    <x v="1"/>
    <n v="9"/>
    <x v="2"/>
    <n v="15"/>
    <n v="25"/>
    <n v="25"/>
    <s v=""/>
    <s v=""/>
    <s v=""/>
    <s v=""/>
    <s v=""/>
  </r>
  <r>
    <x v="1"/>
    <x v="137"/>
    <x v="9"/>
    <s v="BRL"/>
    <x v="2"/>
    <n v="1"/>
    <n v="8000"/>
    <s v="Banco do Brasil"/>
    <n v="8000"/>
    <x v="1"/>
    <n v="10"/>
    <x v="2"/>
    <n v="5"/>
    <n v="7801.7948717948721"/>
    <n v="7801.7948717948721"/>
    <s v=""/>
    <s v=""/>
    <s v=""/>
    <s v=""/>
    <s v=""/>
  </r>
  <r>
    <x v="0"/>
    <x v="137"/>
    <x v="14"/>
    <n v="0"/>
    <x v="1"/>
    <n v="1"/>
    <n v="4000"/>
    <s v="Investimentos BB"/>
    <n v="4000"/>
    <x v="1"/>
    <n v="10"/>
    <x v="2"/>
    <n v="5"/>
    <e v="#DIV/0!"/>
    <e v="#DIV/0!"/>
    <s v=""/>
    <s v=""/>
    <s v=""/>
    <s v=""/>
    <s v=""/>
  </r>
  <r>
    <x v="2"/>
    <x v="138"/>
    <x v="23"/>
    <s v="BRL"/>
    <x v="17"/>
    <n v="1"/>
    <n v="1878.0903800000001"/>
    <s v="Banco do Brasil"/>
    <n v="1878.0903800000001"/>
    <x v="1"/>
    <n v="10"/>
    <x v="2"/>
    <n v="15"/>
    <n v="1629.9930261538464"/>
    <n v="1629.9930261538464"/>
    <s v=""/>
    <s v=""/>
    <s v=""/>
    <s v=""/>
    <s v=""/>
  </r>
  <r>
    <x v="2"/>
    <x v="138"/>
    <x v="27"/>
    <s v="BRL"/>
    <x v="18"/>
    <n v="1"/>
    <n v="400"/>
    <s v="Banco do Brasil"/>
    <n v="400"/>
    <x v="1"/>
    <n v="10"/>
    <x v="2"/>
    <n v="15"/>
    <n v="400"/>
    <n v="400"/>
    <s v=""/>
    <s v=""/>
    <s v=""/>
    <s v=""/>
    <s v=""/>
  </r>
  <r>
    <x v="2"/>
    <x v="138"/>
    <x v="20"/>
    <s v="BRL"/>
    <x v="13"/>
    <n v="1"/>
    <n v="39.9"/>
    <s v="Banco do Brasil"/>
    <n v="39.9"/>
    <x v="1"/>
    <n v="10"/>
    <x v="2"/>
    <n v="15"/>
    <n v="59.90000000000002"/>
    <n v="59.90000000000002"/>
    <s v=""/>
    <s v=""/>
    <s v=""/>
    <s v=""/>
    <s v=""/>
  </r>
  <r>
    <x v="2"/>
    <x v="138"/>
    <x v="20"/>
    <s v="BRL"/>
    <x v="14"/>
    <n v="1"/>
    <n v="79.900000000000006"/>
    <s v="Banco do Brasil"/>
    <n v="79.900000000000006"/>
    <x v="1"/>
    <n v="10"/>
    <x v="2"/>
    <n v="15"/>
    <n v="59.90000000000002"/>
    <n v="59.90000000000002"/>
    <s v=""/>
    <s v=""/>
    <s v=""/>
    <s v=""/>
    <s v=""/>
  </r>
  <r>
    <x v="2"/>
    <x v="138"/>
    <x v="21"/>
    <s v="BRL"/>
    <x v="15"/>
    <n v="1"/>
    <n v="110"/>
    <s v="Banco do Brasil"/>
    <n v="110"/>
    <x v="1"/>
    <n v="10"/>
    <x v="2"/>
    <n v="15"/>
    <n v="110"/>
    <n v="110"/>
    <s v=""/>
    <s v=""/>
    <s v=""/>
    <s v=""/>
    <s v=""/>
  </r>
  <r>
    <x v="2"/>
    <x v="138"/>
    <x v="17"/>
    <s v="BRL"/>
    <x v="10"/>
    <n v="1"/>
    <n v="25"/>
    <s v="Banco do Brasil"/>
    <n v="25"/>
    <x v="1"/>
    <n v="10"/>
    <x v="2"/>
    <n v="15"/>
    <n v="25"/>
    <n v="25"/>
    <s v=""/>
    <s v=""/>
    <s v=""/>
    <s v=""/>
    <s v=""/>
  </r>
  <r>
    <x v="1"/>
    <x v="139"/>
    <x v="9"/>
    <s v="BRL"/>
    <x v="2"/>
    <n v="1"/>
    <n v="8000"/>
    <s v="Banco do Brasil"/>
    <n v="8000"/>
    <x v="1"/>
    <n v="11"/>
    <x v="2"/>
    <n v="5"/>
    <n v="7801.7948717948721"/>
    <n v="7801.7948717948721"/>
    <s v=""/>
    <s v=""/>
    <s v=""/>
    <s v=""/>
    <s v=""/>
  </r>
  <r>
    <x v="0"/>
    <x v="139"/>
    <x v="14"/>
    <n v="0"/>
    <x v="1"/>
    <n v="1"/>
    <n v="3000"/>
    <s v="Investimentos BB"/>
    <n v="3000"/>
    <x v="1"/>
    <n v="11"/>
    <x v="2"/>
    <n v="5"/>
    <e v="#DIV/0!"/>
    <e v="#DIV/0!"/>
    <s v=""/>
    <s v=""/>
    <s v=""/>
    <s v=""/>
    <s v=""/>
  </r>
  <r>
    <x v="2"/>
    <x v="140"/>
    <x v="23"/>
    <s v="BRL"/>
    <x v="17"/>
    <n v="1"/>
    <n v="1894.88742"/>
    <s v="Banco do Brasil"/>
    <n v="1894.88742"/>
    <x v="1"/>
    <n v="11"/>
    <x v="2"/>
    <n v="15"/>
    <n v="1629.9930261538464"/>
    <n v="1629.9930261538464"/>
    <s v=""/>
    <s v=""/>
    <s v=""/>
    <s v=""/>
    <s v=""/>
  </r>
  <r>
    <x v="2"/>
    <x v="140"/>
    <x v="27"/>
    <s v="BRL"/>
    <x v="18"/>
    <n v="1"/>
    <n v="400"/>
    <s v="Banco do Brasil"/>
    <n v="400"/>
    <x v="1"/>
    <n v="11"/>
    <x v="2"/>
    <n v="15"/>
    <n v="400"/>
    <n v="400"/>
    <s v=""/>
    <s v=""/>
    <s v=""/>
    <s v=""/>
    <s v=""/>
  </r>
  <r>
    <x v="2"/>
    <x v="140"/>
    <x v="20"/>
    <s v="BRL"/>
    <x v="13"/>
    <n v="1"/>
    <n v="39.9"/>
    <s v="Banco do Brasil"/>
    <n v="39.9"/>
    <x v="1"/>
    <n v="11"/>
    <x v="2"/>
    <n v="15"/>
    <n v="59.90000000000002"/>
    <n v="59.90000000000002"/>
    <s v=""/>
    <s v=""/>
    <s v=""/>
    <s v=""/>
    <s v=""/>
  </r>
  <r>
    <x v="2"/>
    <x v="140"/>
    <x v="20"/>
    <s v="BRL"/>
    <x v="14"/>
    <n v="1"/>
    <n v="79.900000000000006"/>
    <s v="Banco do Brasil"/>
    <n v="79.900000000000006"/>
    <x v="1"/>
    <n v="11"/>
    <x v="2"/>
    <n v="15"/>
    <n v="59.90000000000002"/>
    <n v="59.90000000000002"/>
    <s v=""/>
    <s v=""/>
    <s v=""/>
    <s v=""/>
    <s v=""/>
  </r>
  <r>
    <x v="2"/>
    <x v="140"/>
    <x v="21"/>
    <s v="BRL"/>
    <x v="15"/>
    <n v="1"/>
    <n v="110"/>
    <s v="Banco do Brasil"/>
    <n v="110"/>
    <x v="1"/>
    <n v="11"/>
    <x v="2"/>
    <n v="15"/>
    <n v="110"/>
    <n v="110"/>
    <s v=""/>
    <s v=""/>
    <s v=""/>
    <s v=""/>
    <s v=""/>
  </r>
  <r>
    <x v="2"/>
    <x v="140"/>
    <x v="17"/>
    <s v="BRL"/>
    <x v="10"/>
    <n v="1"/>
    <n v="25"/>
    <s v="Banco do Brasil"/>
    <n v="25"/>
    <x v="1"/>
    <n v="11"/>
    <x v="2"/>
    <n v="15"/>
    <n v="25"/>
    <n v="25"/>
    <s v=""/>
    <s v=""/>
    <s v=""/>
    <s v=""/>
    <s v=""/>
  </r>
  <r>
    <x v="1"/>
    <x v="141"/>
    <x v="9"/>
    <s v="BRL"/>
    <x v="2"/>
    <n v="1"/>
    <n v="8000"/>
    <s v="Banco do Brasil"/>
    <n v="8000"/>
    <x v="1"/>
    <n v="12"/>
    <x v="2"/>
    <n v="5"/>
    <n v="7801.7948717948721"/>
    <n v="7801.7948717948721"/>
    <s v=""/>
    <s v=""/>
    <s v=""/>
    <s v=""/>
    <s v=""/>
  </r>
  <r>
    <x v="0"/>
    <x v="141"/>
    <x v="14"/>
    <n v="0"/>
    <x v="1"/>
    <n v="1"/>
    <n v="3000"/>
    <s v="Investimentos BB"/>
    <n v="3000"/>
    <x v="1"/>
    <n v="12"/>
    <x v="2"/>
    <n v="5"/>
    <e v="#DIV/0!"/>
    <e v="#DIV/0!"/>
    <s v=""/>
    <s v=""/>
    <s v=""/>
    <s v=""/>
    <s v=""/>
  </r>
  <r>
    <x v="2"/>
    <x v="142"/>
    <x v="23"/>
    <s v="BRL"/>
    <x v="17"/>
    <n v="1"/>
    <n v="1911.69488"/>
    <s v="Banco do Brasil"/>
    <n v="1911.69488"/>
    <x v="1"/>
    <n v="12"/>
    <x v="2"/>
    <n v="15"/>
    <n v="1629.9930261538464"/>
    <n v="1629.9930261538464"/>
    <s v=""/>
    <s v=""/>
    <s v=""/>
    <s v=""/>
    <s v=""/>
  </r>
  <r>
    <x v="2"/>
    <x v="142"/>
    <x v="27"/>
    <s v="BRL"/>
    <x v="18"/>
    <n v="1"/>
    <n v="400"/>
    <s v="Banco do Brasil"/>
    <n v="400"/>
    <x v="1"/>
    <n v="12"/>
    <x v="2"/>
    <n v="15"/>
    <n v="400"/>
    <n v="400"/>
    <s v=""/>
    <s v=""/>
    <s v=""/>
    <s v=""/>
    <s v=""/>
  </r>
  <r>
    <x v="2"/>
    <x v="142"/>
    <x v="20"/>
    <s v="BRL"/>
    <x v="13"/>
    <n v="1"/>
    <n v="39.9"/>
    <s v="Banco do Brasil"/>
    <n v="39.9"/>
    <x v="1"/>
    <n v="12"/>
    <x v="2"/>
    <n v="15"/>
    <n v="59.90000000000002"/>
    <n v="59.90000000000002"/>
    <s v=""/>
    <s v=""/>
    <s v=""/>
    <s v=""/>
    <s v=""/>
  </r>
  <r>
    <x v="2"/>
    <x v="142"/>
    <x v="20"/>
    <s v="BRL"/>
    <x v="14"/>
    <n v="1"/>
    <n v="79.900000000000006"/>
    <s v="Banco do Brasil"/>
    <n v="79.900000000000006"/>
    <x v="1"/>
    <n v="12"/>
    <x v="2"/>
    <n v="15"/>
    <n v="59.90000000000002"/>
    <n v="59.90000000000002"/>
    <s v=""/>
    <s v=""/>
    <s v=""/>
    <s v=""/>
    <s v=""/>
  </r>
  <r>
    <x v="2"/>
    <x v="142"/>
    <x v="21"/>
    <s v="BRL"/>
    <x v="15"/>
    <n v="1"/>
    <n v="110"/>
    <s v="Banco do Brasil"/>
    <n v="110"/>
    <x v="1"/>
    <n v="12"/>
    <x v="2"/>
    <n v="15"/>
    <n v="110"/>
    <n v="110"/>
    <s v=""/>
    <s v=""/>
    <s v=""/>
    <s v=""/>
    <s v=""/>
  </r>
  <r>
    <x v="2"/>
    <x v="142"/>
    <x v="17"/>
    <s v="BRL"/>
    <x v="10"/>
    <n v="1"/>
    <n v="25"/>
    <s v="Banco do Brasil"/>
    <n v="25"/>
    <x v="1"/>
    <n v="12"/>
    <x v="2"/>
    <n v="15"/>
    <n v="25"/>
    <n v="25"/>
    <s v=""/>
    <s v=""/>
    <s v=""/>
    <s v=""/>
    <s v=""/>
  </r>
  <r>
    <x v="1"/>
    <x v="143"/>
    <x v="9"/>
    <s v="BRL"/>
    <x v="2"/>
    <n v="1"/>
    <n v="8000"/>
    <s v="Banco do Brasil"/>
    <n v="8000"/>
    <x v="1"/>
    <n v="1"/>
    <x v="3"/>
    <n v="5"/>
    <n v="7801.7948717948721"/>
    <n v="7801.7948717948721"/>
    <s v=""/>
    <s v=""/>
    <s v=""/>
    <s v=""/>
    <s v=""/>
  </r>
  <r>
    <x v="0"/>
    <x v="143"/>
    <x v="14"/>
    <n v="0"/>
    <x v="1"/>
    <n v="1"/>
    <n v="3000"/>
    <s v="Investimentos BB"/>
    <n v="3000"/>
    <x v="1"/>
    <n v="1"/>
    <x v="3"/>
    <n v="5"/>
    <e v="#DIV/0!"/>
    <e v="#DIV/0!"/>
    <s v=""/>
    <s v=""/>
    <s v=""/>
    <s v=""/>
    <s v=""/>
  </r>
  <r>
    <x v="2"/>
    <x v="144"/>
    <x v="23"/>
    <s v="BRL"/>
    <x v="17"/>
    <n v="1"/>
    <n v="1928.4919199999999"/>
    <s v="Banco do Brasil"/>
    <n v="1928.4919199999999"/>
    <x v="1"/>
    <n v="1"/>
    <x v="3"/>
    <n v="15"/>
    <n v="1629.9930261538464"/>
    <n v="1629.9930261538464"/>
    <s v=""/>
    <s v=""/>
    <s v=""/>
    <s v=""/>
    <s v=""/>
  </r>
  <r>
    <x v="2"/>
    <x v="144"/>
    <x v="27"/>
    <s v="BRL"/>
    <x v="18"/>
    <n v="1"/>
    <n v="400"/>
    <s v="Banco do Brasil"/>
    <n v="400"/>
    <x v="1"/>
    <n v="1"/>
    <x v="3"/>
    <n v="15"/>
    <n v="400"/>
    <n v="400"/>
    <s v=""/>
    <s v=""/>
    <s v=""/>
    <s v=""/>
    <s v=""/>
  </r>
  <r>
    <x v="2"/>
    <x v="144"/>
    <x v="20"/>
    <s v="BRL"/>
    <x v="13"/>
    <n v="1"/>
    <n v="39.9"/>
    <s v="Banco do Brasil"/>
    <n v="39.9"/>
    <x v="1"/>
    <n v="1"/>
    <x v="3"/>
    <n v="15"/>
    <n v="59.90000000000002"/>
    <n v="59.90000000000002"/>
    <s v=""/>
    <s v=""/>
    <s v=""/>
    <s v=""/>
    <s v=""/>
  </r>
  <r>
    <x v="2"/>
    <x v="144"/>
    <x v="20"/>
    <s v="BRL"/>
    <x v="14"/>
    <n v="1"/>
    <n v="79.900000000000006"/>
    <s v="Banco do Brasil"/>
    <n v="79.900000000000006"/>
    <x v="1"/>
    <n v="1"/>
    <x v="3"/>
    <n v="15"/>
    <n v="59.90000000000002"/>
    <n v="59.90000000000002"/>
    <s v=""/>
    <s v=""/>
    <s v=""/>
    <s v=""/>
    <s v=""/>
  </r>
  <r>
    <x v="2"/>
    <x v="144"/>
    <x v="21"/>
    <s v="BRL"/>
    <x v="15"/>
    <n v="1"/>
    <n v="110"/>
    <s v="Banco do Brasil"/>
    <n v="110"/>
    <x v="1"/>
    <n v="1"/>
    <x v="3"/>
    <n v="15"/>
    <n v="110"/>
    <n v="110"/>
    <s v=""/>
    <s v=""/>
    <s v=""/>
    <s v=""/>
    <s v=""/>
  </r>
  <r>
    <x v="2"/>
    <x v="144"/>
    <x v="17"/>
    <s v="BRL"/>
    <x v="10"/>
    <n v="1"/>
    <n v="25"/>
    <s v="Banco do Brasil"/>
    <n v="25"/>
    <x v="1"/>
    <n v="1"/>
    <x v="3"/>
    <n v="15"/>
    <n v="25"/>
    <n v="25"/>
    <s v=""/>
    <s v=""/>
    <s v=""/>
    <s v=""/>
    <s v=""/>
  </r>
  <r>
    <x v="1"/>
    <x v="145"/>
    <x v="9"/>
    <s v="BRL"/>
    <x v="2"/>
    <n v="1"/>
    <n v="8000"/>
    <s v="Banco do Brasil"/>
    <n v="8000"/>
    <x v="1"/>
    <n v="2"/>
    <x v="3"/>
    <n v="5"/>
    <n v="7801.7948717948721"/>
    <n v="7801.7948717948721"/>
    <s v=""/>
    <s v=""/>
    <s v=""/>
    <s v=""/>
    <s v=""/>
  </r>
  <r>
    <x v="0"/>
    <x v="145"/>
    <x v="14"/>
    <n v="0"/>
    <x v="1"/>
    <n v="1"/>
    <n v="3000"/>
    <s v="Investimentos BB"/>
    <n v="3000"/>
    <x v="1"/>
    <n v="2"/>
    <x v="3"/>
    <n v="5"/>
    <e v="#DIV/0!"/>
    <e v="#DIV/0!"/>
    <s v=""/>
    <s v=""/>
    <s v=""/>
    <s v=""/>
    <s v=""/>
  </r>
  <r>
    <x v="2"/>
    <x v="146"/>
    <x v="23"/>
    <s v="BRL"/>
    <x v="17"/>
    <n v="1"/>
    <n v="1945.2889600000001"/>
    <s v="Banco do Brasil"/>
    <n v="1945.2889600000001"/>
    <x v="1"/>
    <n v="2"/>
    <x v="3"/>
    <n v="15"/>
    <n v="1629.9930261538464"/>
    <n v="1629.9930261538464"/>
    <s v=""/>
    <s v=""/>
    <s v=""/>
    <s v=""/>
    <s v=""/>
  </r>
  <r>
    <x v="2"/>
    <x v="146"/>
    <x v="27"/>
    <s v="BRL"/>
    <x v="18"/>
    <n v="1"/>
    <n v="400"/>
    <s v="Banco do Brasil"/>
    <n v="400"/>
    <x v="1"/>
    <n v="2"/>
    <x v="3"/>
    <n v="15"/>
    <n v="400"/>
    <n v="400"/>
    <s v=""/>
    <s v=""/>
    <s v=""/>
    <s v=""/>
    <s v=""/>
  </r>
  <r>
    <x v="2"/>
    <x v="146"/>
    <x v="20"/>
    <s v="BRL"/>
    <x v="13"/>
    <n v="1"/>
    <n v="39.9"/>
    <s v="Banco do Brasil"/>
    <n v="39.9"/>
    <x v="1"/>
    <n v="2"/>
    <x v="3"/>
    <n v="15"/>
    <n v="59.90000000000002"/>
    <n v="59.90000000000002"/>
    <s v=""/>
    <s v=""/>
    <s v=""/>
    <s v=""/>
    <s v=""/>
  </r>
  <r>
    <x v="2"/>
    <x v="146"/>
    <x v="20"/>
    <s v="BRL"/>
    <x v="14"/>
    <n v="1"/>
    <n v="79.900000000000006"/>
    <s v="Banco do Brasil"/>
    <n v="79.900000000000006"/>
    <x v="1"/>
    <n v="2"/>
    <x v="3"/>
    <n v="15"/>
    <n v="59.90000000000002"/>
    <n v="59.90000000000002"/>
    <s v=""/>
    <s v=""/>
    <s v=""/>
    <s v=""/>
    <s v=""/>
  </r>
  <r>
    <x v="2"/>
    <x v="146"/>
    <x v="21"/>
    <s v="BRL"/>
    <x v="15"/>
    <n v="1"/>
    <n v="110"/>
    <s v="Banco do Brasil"/>
    <n v="110"/>
    <x v="1"/>
    <n v="2"/>
    <x v="3"/>
    <n v="15"/>
    <n v="110"/>
    <n v="110"/>
    <s v=""/>
    <s v=""/>
    <s v=""/>
    <s v=""/>
    <s v=""/>
  </r>
  <r>
    <x v="2"/>
    <x v="146"/>
    <x v="17"/>
    <s v="BRL"/>
    <x v="10"/>
    <n v="1"/>
    <n v="25"/>
    <s v="Banco do Brasil"/>
    <n v="25"/>
    <x v="1"/>
    <n v="2"/>
    <x v="3"/>
    <n v="15"/>
    <n v="25"/>
    <n v="25"/>
    <s v=""/>
    <s v=""/>
    <s v=""/>
    <s v=""/>
    <s v=""/>
  </r>
  <r>
    <x v="1"/>
    <x v="147"/>
    <x v="9"/>
    <s v="BRL"/>
    <x v="2"/>
    <n v="1"/>
    <n v="8000"/>
    <s v="Banco do Brasil"/>
    <n v="8000"/>
    <x v="1"/>
    <n v="3"/>
    <x v="3"/>
    <n v="5"/>
    <n v="7801.7948717948721"/>
    <n v="7801.7948717948721"/>
    <s v=""/>
    <s v=""/>
    <s v=""/>
    <s v=""/>
    <s v=""/>
  </r>
  <r>
    <x v="0"/>
    <x v="147"/>
    <x v="14"/>
    <n v="0"/>
    <x v="1"/>
    <n v="1"/>
    <n v="3000"/>
    <s v="Investimentos BB"/>
    <n v="3000"/>
    <x v="1"/>
    <n v="3"/>
    <x v="3"/>
    <n v="5"/>
    <e v="#DIV/0!"/>
    <e v="#DIV/0!"/>
    <s v=""/>
    <s v=""/>
    <s v=""/>
    <s v=""/>
    <s v=""/>
  </r>
  <r>
    <x v="2"/>
    <x v="148"/>
    <x v="23"/>
    <s v="BRL"/>
    <x v="17"/>
    <n v="1"/>
    <n v="1962.0964200000001"/>
    <s v="Banco do Brasil"/>
    <n v="1962.0964200000001"/>
    <x v="1"/>
    <n v="3"/>
    <x v="3"/>
    <n v="15"/>
    <n v="1629.9930261538464"/>
    <n v="1629.9930261538464"/>
    <s v=""/>
    <s v=""/>
    <s v=""/>
    <s v=""/>
    <s v=""/>
  </r>
  <r>
    <x v="2"/>
    <x v="148"/>
    <x v="27"/>
    <s v="BRL"/>
    <x v="18"/>
    <n v="1"/>
    <n v="400"/>
    <s v="Banco do Brasil"/>
    <n v="400"/>
    <x v="1"/>
    <n v="3"/>
    <x v="3"/>
    <n v="15"/>
    <n v="400"/>
    <n v="400"/>
    <s v=""/>
    <s v=""/>
    <s v=""/>
    <s v=""/>
    <s v=""/>
  </r>
  <r>
    <x v="2"/>
    <x v="148"/>
    <x v="20"/>
    <s v="BRL"/>
    <x v="13"/>
    <n v="1"/>
    <n v="39.9"/>
    <s v="Banco do Brasil"/>
    <n v="39.9"/>
    <x v="1"/>
    <n v="3"/>
    <x v="3"/>
    <n v="15"/>
    <n v="59.90000000000002"/>
    <n v="59.90000000000002"/>
    <s v=""/>
    <s v=""/>
    <s v=""/>
    <s v=""/>
    <s v=""/>
  </r>
  <r>
    <x v="2"/>
    <x v="148"/>
    <x v="20"/>
    <s v="BRL"/>
    <x v="14"/>
    <n v="1"/>
    <n v="79.900000000000006"/>
    <s v="Banco do Brasil"/>
    <n v="79.900000000000006"/>
    <x v="1"/>
    <n v="3"/>
    <x v="3"/>
    <n v="15"/>
    <n v="59.90000000000002"/>
    <n v="59.90000000000002"/>
    <s v=""/>
    <s v=""/>
    <s v=""/>
    <s v=""/>
    <s v=""/>
  </r>
  <r>
    <x v="2"/>
    <x v="148"/>
    <x v="21"/>
    <s v="BRL"/>
    <x v="15"/>
    <n v="1"/>
    <n v="110"/>
    <s v="Banco do Brasil"/>
    <n v="110"/>
    <x v="1"/>
    <n v="3"/>
    <x v="3"/>
    <n v="15"/>
    <n v="110"/>
    <n v="110"/>
    <s v=""/>
    <s v=""/>
    <s v=""/>
    <s v=""/>
    <s v=""/>
  </r>
  <r>
    <x v="2"/>
    <x v="148"/>
    <x v="17"/>
    <s v="BRL"/>
    <x v="10"/>
    <n v="1"/>
    <n v="25"/>
    <s v="Banco do Brasil"/>
    <n v="25"/>
    <x v="1"/>
    <n v="3"/>
    <x v="3"/>
    <n v="15"/>
    <n v="25"/>
    <n v="25"/>
    <s v=""/>
    <s v=""/>
    <s v=""/>
    <s v=""/>
    <s v=""/>
  </r>
  <r>
    <x v="1"/>
    <x v="149"/>
    <x v="9"/>
    <s v="BRL"/>
    <x v="2"/>
    <n v="1"/>
    <n v="8000"/>
    <s v="Banco do Brasil"/>
    <n v="8000"/>
    <x v="1"/>
    <n v="4"/>
    <x v="3"/>
    <n v="5"/>
    <n v="7801.7948717948721"/>
    <n v="7801.7948717948721"/>
    <s v=""/>
    <s v=""/>
    <s v=""/>
    <s v=""/>
    <s v=""/>
  </r>
  <r>
    <x v="0"/>
    <x v="149"/>
    <x v="14"/>
    <n v="0"/>
    <x v="1"/>
    <n v="1"/>
    <n v="3000"/>
    <s v="Investimentos BB"/>
    <n v="3000"/>
    <x v="1"/>
    <n v="4"/>
    <x v="3"/>
    <n v="5"/>
    <e v="#DIV/0!"/>
    <e v="#DIV/0!"/>
    <s v=""/>
    <s v=""/>
    <s v=""/>
    <s v=""/>
    <s v=""/>
  </r>
  <r>
    <x v="2"/>
    <x v="150"/>
    <x v="23"/>
    <s v="BRL"/>
    <x v="17"/>
    <n v="1"/>
    <n v="1962.26314"/>
    <s v="Banco do Brasil"/>
    <n v="1962.26314"/>
    <x v="1"/>
    <n v="4"/>
    <x v="3"/>
    <n v="15"/>
    <n v="1629.9930261538464"/>
    <n v="1629.9930261538464"/>
    <s v=""/>
    <s v=""/>
    <s v=""/>
    <s v=""/>
    <s v=""/>
  </r>
  <r>
    <x v="2"/>
    <x v="150"/>
    <x v="27"/>
    <s v="BRL"/>
    <x v="18"/>
    <n v="1"/>
    <n v="400"/>
    <s v="Banco do Brasil"/>
    <n v="400"/>
    <x v="1"/>
    <n v="4"/>
    <x v="3"/>
    <n v="15"/>
    <n v="400"/>
    <n v="400"/>
    <s v=""/>
    <s v=""/>
    <s v=""/>
    <s v=""/>
    <s v=""/>
  </r>
  <r>
    <x v="2"/>
    <x v="150"/>
    <x v="20"/>
    <s v="BRL"/>
    <x v="13"/>
    <n v="1"/>
    <n v="39.9"/>
    <s v="Banco do Brasil"/>
    <n v="39.9"/>
    <x v="1"/>
    <n v="4"/>
    <x v="3"/>
    <n v="15"/>
    <n v="59.90000000000002"/>
    <n v="59.90000000000002"/>
    <s v=""/>
    <s v=""/>
    <s v=""/>
    <s v=""/>
    <s v=""/>
  </r>
  <r>
    <x v="2"/>
    <x v="150"/>
    <x v="20"/>
    <s v="BRL"/>
    <x v="14"/>
    <n v="1"/>
    <n v="79.900000000000006"/>
    <s v="Banco do Brasil"/>
    <n v="79.900000000000006"/>
    <x v="1"/>
    <n v="4"/>
    <x v="3"/>
    <n v="15"/>
    <n v="59.90000000000002"/>
    <n v="59.90000000000002"/>
    <s v=""/>
    <s v=""/>
    <s v=""/>
    <s v=""/>
    <s v=""/>
  </r>
  <r>
    <x v="2"/>
    <x v="150"/>
    <x v="21"/>
    <s v="BRL"/>
    <x v="15"/>
    <n v="1"/>
    <n v="110"/>
    <s v="Banco do Brasil"/>
    <n v="110"/>
    <x v="1"/>
    <n v="4"/>
    <x v="3"/>
    <n v="15"/>
    <n v="110"/>
    <n v="110"/>
    <s v=""/>
    <s v=""/>
    <s v=""/>
    <s v=""/>
    <s v=""/>
  </r>
  <r>
    <x v="2"/>
    <x v="150"/>
    <x v="17"/>
    <s v="BRL"/>
    <x v="10"/>
    <n v="1"/>
    <n v="25"/>
    <s v="Banco do Brasil"/>
    <n v="25"/>
    <x v="1"/>
    <n v="4"/>
    <x v="3"/>
    <n v="15"/>
    <n v="25"/>
    <n v="25"/>
    <s v=""/>
    <s v=""/>
    <s v=""/>
    <s v=""/>
    <s v=""/>
  </r>
  <r>
    <x v="1"/>
    <x v="151"/>
    <x v="9"/>
    <s v="BRL"/>
    <x v="2"/>
    <n v="1"/>
    <n v="8000"/>
    <s v="Banco do Brasil"/>
    <n v="8000"/>
    <x v="1"/>
    <n v="5"/>
    <x v="3"/>
    <n v="5"/>
    <n v="7801.7948717948721"/>
    <n v="7801.7948717948721"/>
    <s v=""/>
    <s v=""/>
    <s v=""/>
    <s v=""/>
    <s v=""/>
  </r>
  <r>
    <x v="0"/>
    <x v="151"/>
    <x v="14"/>
    <n v="0"/>
    <x v="1"/>
    <n v="1"/>
    <n v="3000"/>
    <s v="Investimentos BB"/>
    <n v="3000"/>
    <x v="1"/>
    <n v="5"/>
    <x v="3"/>
    <n v="5"/>
    <e v="#DIV/0!"/>
    <e v="#DIV/0!"/>
    <s v=""/>
    <s v=""/>
    <s v=""/>
    <s v=""/>
    <s v=""/>
  </r>
  <r>
    <x v="2"/>
    <x v="152"/>
    <x v="23"/>
    <s v="BRL"/>
    <x v="24"/>
    <n v="1"/>
    <n v="2192.2012800000002"/>
    <s v="Banco do Brasil"/>
    <n v="2192.2012800000002"/>
    <x v="1"/>
    <n v="5"/>
    <x v="3"/>
    <n v="15"/>
    <n v="1629.9930261538464"/>
    <n v="1629.9930261538464"/>
    <s v=""/>
    <s v=""/>
    <s v=""/>
    <s v=""/>
    <s v=""/>
  </r>
  <r>
    <x v="2"/>
    <x v="152"/>
    <x v="27"/>
    <s v="BRL"/>
    <x v="18"/>
    <n v="1"/>
    <n v="400"/>
    <s v="Banco do Brasil"/>
    <n v="400"/>
    <x v="1"/>
    <n v="5"/>
    <x v="3"/>
    <n v="15"/>
    <n v="400"/>
    <n v="400"/>
    <s v=""/>
    <s v=""/>
    <s v=""/>
    <s v=""/>
    <s v=""/>
  </r>
  <r>
    <x v="2"/>
    <x v="152"/>
    <x v="20"/>
    <s v="BRL"/>
    <x v="13"/>
    <n v="1"/>
    <n v="39.9"/>
    <s v="Banco do Brasil"/>
    <n v="39.9"/>
    <x v="1"/>
    <n v="5"/>
    <x v="3"/>
    <n v="15"/>
    <n v="59.90000000000002"/>
    <n v="59.90000000000002"/>
    <s v=""/>
    <s v=""/>
    <s v=""/>
    <s v=""/>
    <s v=""/>
  </r>
  <r>
    <x v="2"/>
    <x v="152"/>
    <x v="20"/>
    <s v="BRL"/>
    <x v="14"/>
    <n v="1"/>
    <n v="79.900000000000006"/>
    <s v="Banco do Brasil"/>
    <n v="79.900000000000006"/>
    <x v="1"/>
    <n v="5"/>
    <x v="3"/>
    <n v="15"/>
    <n v="59.90000000000002"/>
    <n v="59.90000000000002"/>
    <s v=""/>
    <s v=""/>
    <s v=""/>
    <s v=""/>
    <s v=""/>
  </r>
  <r>
    <x v="2"/>
    <x v="152"/>
    <x v="21"/>
    <s v="BRL"/>
    <x v="15"/>
    <n v="1"/>
    <n v="110"/>
    <s v="Banco do Brasil"/>
    <n v="110"/>
    <x v="1"/>
    <n v="5"/>
    <x v="3"/>
    <n v="15"/>
    <n v="110"/>
    <n v="110"/>
    <s v=""/>
    <s v=""/>
    <s v=""/>
    <s v=""/>
    <s v=""/>
  </r>
  <r>
    <x v="2"/>
    <x v="152"/>
    <x v="17"/>
    <s v="BRL"/>
    <x v="10"/>
    <n v="1"/>
    <n v="25"/>
    <s v="Banco do Brasil"/>
    <n v="25"/>
    <x v="1"/>
    <n v="5"/>
    <x v="3"/>
    <n v="15"/>
    <n v="25"/>
    <n v="25"/>
    <s v=""/>
    <s v=""/>
    <s v=""/>
    <s v=""/>
    <s v=""/>
  </r>
  <r>
    <x v="1"/>
    <x v="153"/>
    <x v="9"/>
    <s v="BRL"/>
    <x v="2"/>
    <n v="1"/>
    <n v="8000"/>
    <s v="Banco do Brasil"/>
    <n v="8000"/>
    <x v="1"/>
    <n v="6"/>
    <x v="3"/>
    <n v="5"/>
    <n v="7801.7948717948721"/>
    <n v="7801.7948717948721"/>
    <s v=""/>
    <s v=""/>
    <s v=""/>
    <s v=""/>
    <s v=""/>
  </r>
  <r>
    <x v="0"/>
    <x v="153"/>
    <x v="14"/>
    <n v="0"/>
    <x v="1"/>
    <n v="1"/>
    <n v="3000"/>
    <s v="Investimentos BB"/>
    <n v="3000"/>
    <x v="1"/>
    <n v="6"/>
    <x v="3"/>
    <n v="5"/>
    <e v="#DIV/0!"/>
    <e v="#DIV/0!"/>
    <s v=""/>
    <s v=""/>
    <s v=""/>
    <s v=""/>
    <s v=""/>
  </r>
  <r>
    <x v="2"/>
    <x v="154"/>
    <x v="23"/>
    <s v="BRL"/>
    <x v="24"/>
    <n v="1"/>
    <n v="2192.1908599999997"/>
    <s v="Banco do Brasil"/>
    <n v="2192.1908599999997"/>
    <x v="1"/>
    <n v="6"/>
    <x v="3"/>
    <n v="15"/>
    <n v="1629.9930261538464"/>
    <n v="1629.9930261538464"/>
    <s v=""/>
    <s v=""/>
    <s v=""/>
    <s v=""/>
    <s v=""/>
  </r>
  <r>
    <x v="2"/>
    <x v="154"/>
    <x v="27"/>
    <s v="BRL"/>
    <x v="18"/>
    <n v="1"/>
    <n v="400"/>
    <s v="Banco do Brasil"/>
    <n v="400"/>
    <x v="1"/>
    <n v="6"/>
    <x v="3"/>
    <n v="15"/>
    <n v="400"/>
    <n v="400"/>
    <s v=""/>
    <s v=""/>
    <s v=""/>
    <s v=""/>
    <s v=""/>
  </r>
  <r>
    <x v="2"/>
    <x v="154"/>
    <x v="20"/>
    <s v="BRL"/>
    <x v="13"/>
    <n v="1"/>
    <n v="39.9"/>
    <s v="Banco do Brasil"/>
    <n v="39.9"/>
    <x v="1"/>
    <n v="6"/>
    <x v="3"/>
    <n v="15"/>
    <n v="59.90000000000002"/>
    <n v="59.90000000000002"/>
    <s v=""/>
    <s v=""/>
    <s v=""/>
    <s v=""/>
    <s v=""/>
  </r>
  <r>
    <x v="2"/>
    <x v="154"/>
    <x v="20"/>
    <s v="BRL"/>
    <x v="14"/>
    <n v="1"/>
    <n v="79.900000000000006"/>
    <s v="Banco do Brasil"/>
    <n v="79.900000000000006"/>
    <x v="1"/>
    <n v="6"/>
    <x v="3"/>
    <n v="15"/>
    <n v="59.90000000000002"/>
    <n v="59.90000000000002"/>
    <s v=""/>
    <s v=""/>
    <s v=""/>
    <s v=""/>
    <s v=""/>
  </r>
  <r>
    <x v="2"/>
    <x v="154"/>
    <x v="21"/>
    <s v="BRL"/>
    <x v="15"/>
    <n v="1"/>
    <n v="110"/>
    <s v="Banco do Brasil"/>
    <n v="110"/>
    <x v="1"/>
    <n v="6"/>
    <x v="3"/>
    <n v="15"/>
    <n v="110"/>
    <n v="110"/>
    <s v=""/>
    <s v=""/>
    <s v=""/>
    <s v=""/>
    <s v=""/>
  </r>
  <r>
    <x v="2"/>
    <x v="154"/>
    <x v="17"/>
    <s v="BRL"/>
    <x v="10"/>
    <n v="1"/>
    <n v="25"/>
    <s v="Banco do Brasil"/>
    <n v="25"/>
    <x v="1"/>
    <n v="6"/>
    <x v="3"/>
    <n v="15"/>
    <n v="25"/>
    <n v="25"/>
    <s v=""/>
    <s v=""/>
    <s v=""/>
    <s v=""/>
    <s v=""/>
  </r>
  <r>
    <x v="1"/>
    <x v="155"/>
    <x v="9"/>
    <s v="BRL"/>
    <x v="2"/>
    <n v="1"/>
    <n v="8000"/>
    <s v="Banco do Brasil"/>
    <n v="8000"/>
    <x v="1"/>
    <n v="7"/>
    <x v="3"/>
    <n v="5"/>
    <n v="7801.7948717948721"/>
    <n v="7801.7948717948721"/>
    <s v=""/>
    <s v=""/>
    <s v=""/>
    <s v=""/>
    <s v=""/>
  </r>
  <r>
    <x v="0"/>
    <x v="155"/>
    <x v="14"/>
    <n v="0"/>
    <x v="1"/>
    <n v="1"/>
    <n v="3000"/>
    <s v="Investimentos BB"/>
    <n v="3000"/>
    <x v="1"/>
    <n v="7"/>
    <x v="3"/>
    <n v="5"/>
    <e v="#DIV/0!"/>
    <e v="#DIV/0!"/>
    <s v=""/>
    <s v=""/>
    <s v=""/>
    <s v=""/>
    <s v=""/>
  </r>
  <r>
    <x v="2"/>
    <x v="156"/>
    <x v="23"/>
    <s v="BRL"/>
    <x v="24"/>
    <n v="1"/>
    <n v="2192.1804400000001"/>
    <s v="Banco do Brasil"/>
    <n v="2192.1804400000001"/>
    <x v="1"/>
    <n v="7"/>
    <x v="3"/>
    <n v="15"/>
    <n v="1629.9930261538464"/>
    <n v="1629.9930261538464"/>
    <s v=""/>
    <s v=""/>
    <s v=""/>
    <s v=""/>
    <s v=""/>
  </r>
  <r>
    <x v="2"/>
    <x v="156"/>
    <x v="27"/>
    <s v="BRL"/>
    <x v="18"/>
    <n v="1"/>
    <n v="400"/>
    <s v="Banco do Brasil"/>
    <n v="400"/>
    <x v="1"/>
    <n v="7"/>
    <x v="3"/>
    <n v="15"/>
    <n v="400"/>
    <n v="400"/>
    <s v=""/>
    <s v=""/>
    <s v=""/>
    <s v=""/>
    <s v=""/>
  </r>
  <r>
    <x v="2"/>
    <x v="156"/>
    <x v="20"/>
    <s v="BRL"/>
    <x v="13"/>
    <n v="1"/>
    <n v="39.9"/>
    <s v="Banco do Brasil"/>
    <n v="39.9"/>
    <x v="1"/>
    <n v="7"/>
    <x v="3"/>
    <n v="15"/>
    <n v="59.90000000000002"/>
    <n v="59.90000000000002"/>
    <s v=""/>
    <s v=""/>
    <s v=""/>
    <s v=""/>
    <s v=""/>
  </r>
  <r>
    <x v="2"/>
    <x v="156"/>
    <x v="20"/>
    <s v="BRL"/>
    <x v="14"/>
    <n v="1"/>
    <n v="79.900000000000006"/>
    <s v="Banco do Brasil"/>
    <n v="79.900000000000006"/>
    <x v="1"/>
    <n v="7"/>
    <x v="3"/>
    <n v="15"/>
    <n v="59.90000000000002"/>
    <n v="59.90000000000002"/>
    <s v=""/>
    <s v=""/>
    <s v=""/>
    <s v=""/>
    <s v=""/>
  </r>
  <r>
    <x v="2"/>
    <x v="156"/>
    <x v="21"/>
    <s v="BRL"/>
    <x v="15"/>
    <n v="1"/>
    <n v="110"/>
    <s v="Banco do Brasil"/>
    <n v="110"/>
    <x v="1"/>
    <n v="7"/>
    <x v="3"/>
    <n v="15"/>
    <n v="110"/>
    <n v="110"/>
    <s v=""/>
    <s v=""/>
    <s v=""/>
    <s v=""/>
    <s v=""/>
  </r>
  <r>
    <x v="2"/>
    <x v="156"/>
    <x v="17"/>
    <s v="BRL"/>
    <x v="10"/>
    <n v="1"/>
    <n v="25"/>
    <s v="Banco do Brasil"/>
    <n v="25"/>
    <x v="1"/>
    <n v="7"/>
    <x v="3"/>
    <n v="15"/>
    <n v="25"/>
    <n v="25"/>
    <s v=""/>
    <s v=""/>
    <s v=""/>
    <s v=""/>
    <s v=""/>
  </r>
  <r>
    <x v="1"/>
    <x v="157"/>
    <x v="9"/>
    <s v="BRL"/>
    <x v="2"/>
    <n v="1"/>
    <n v="8000"/>
    <s v="Banco do Brasil"/>
    <n v="8000"/>
    <x v="1"/>
    <n v="8"/>
    <x v="3"/>
    <n v="5"/>
    <n v="7801.7948717948721"/>
    <n v="7801.7948717948721"/>
    <s v=""/>
    <s v=""/>
    <s v=""/>
    <s v=""/>
    <s v=""/>
  </r>
  <r>
    <x v="0"/>
    <x v="157"/>
    <x v="14"/>
    <n v="0"/>
    <x v="1"/>
    <n v="1"/>
    <n v="3000"/>
    <s v="Investimentos BB"/>
    <n v="3000"/>
    <x v="1"/>
    <n v="8"/>
    <x v="3"/>
    <n v="5"/>
    <e v="#DIV/0!"/>
    <e v="#DIV/0!"/>
    <s v=""/>
    <s v=""/>
    <s v=""/>
    <s v=""/>
    <s v=""/>
  </r>
  <r>
    <x v="2"/>
    <x v="158"/>
    <x v="23"/>
    <s v="BRL"/>
    <x v="24"/>
    <n v="1"/>
    <n v="2192.1596000000004"/>
    <s v="Banco do Brasil"/>
    <n v="2192.1596000000004"/>
    <x v="1"/>
    <n v="8"/>
    <x v="3"/>
    <n v="15"/>
    <n v="1629.9930261538464"/>
    <n v="1629.9930261538464"/>
    <s v=""/>
    <s v=""/>
    <s v=""/>
    <s v=""/>
    <s v=""/>
  </r>
  <r>
    <x v="2"/>
    <x v="158"/>
    <x v="27"/>
    <s v="BRL"/>
    <x v="18"/>
    <n v="1"/>
    <n v="400"/>
    <s v="Banco do Brasil"/>
    <n v="400"/>
    <x v="1"/>
    <n v="8"/>
    <x v="3"/>
    <n v="15"/>
    <n v="400"/>
    <n v="400"/>
    <s v=""/>
    <s v=""/>
    <s v=""/>
    <s v=""/>
    <s v=""/>
  </r>
  <r>
    <x v="2"/>
    <x v="158"/>
    <x v="20"/>
    <s v="BRL"/>
    <x v="13"/>
    <n v="1"/>
    <n v="39.9"/>
    <s v="Banco do Brasil"/>
    <n v="39.9"/>
    <x v="1"/>
    <n v="8"/>
    <x v="3"/>
    <n v="15"/>
    <n v="59.90000000000002"/>
    <n v="59.90000000000002"/>
    <s v=""/>
    <s v=""/>
    <s v=""/>
    <s v=""/>
    <s v=""/>
  </r>
  <r>
    <x v="2"/>
    <x v="158"/>
    <x v="20"/>
    <s v="BRL"/>
    <x v="14"/>
    <n v="1"/>
    <n v="79.900000000000006"/>
    <s v="Banco do Brasil"/>
    <n v="79.900000000000006"/>
    <x v="1"/>
    <n v="8"/>
    <x v="3"/>
    <n v="15"/>
    <n v="59.90000000000002"/>
    <n v="59.90000000000002"/>
    <s v=""/>
    <s v=""/>
    <s v=""/>
    <s v=""/>
    <s v=""/>
  </r>
  <r>
    <x v="2"/>
    <x v="158"/>
    <x v="21"/>
    <s v="BRL"/>
    <x v="15"/>
    <n v="1"/>
    <n v="110"/>
    <s v="Banco do Brasil"/>
    <n v="110"/>
    <x v="1"/>
    <n v="8"/>
    <x v="3"/>
    <n v="15"/>
    <n v="110"/>
    <n v="110"/>
    <s v=""/>
    <s v=""/>
    <s v=""/>
    <s v=""/>
    <s v=""/>
  </r>
  <r>
    <x v="2"/>
    <x v="158"/>
    <x v="17"/>
    <s v="BRL"/>
    <x v="10"/>
    <n v="1"/>
    <n v="25"/>
    <s v="Banco do Brasil"/>
    <n v="25"/>
    <x v="1"/>
    <n v="8"/>
    <x v="3"/>
    <n v="15"/>
    <n v="25"/>
    <n v="25"/>
    <s v=""/>
    <s v=""/>
    <s v=""/>
    <s v=""/>
    <s v=""/>
  </r>
  <r>
    <x v="1"/>
    <x v="159"/>
    <x v="9"/>
    <s v="BRL"/>
    <x v="2"/>
    <n v="1"/>
    <n v="8000"/>
    <s v="Banco do Brasil"/>
    <n v="8000"/>
    <x v="1"/>
    <n v="9"/>
    <x v="3"/>
    <n v="5"/>
    <n v="7801.7948717948721"/>
    <n v="7801.7948717948721"/>
    <s v=""/>
    <s v=""/>
    <s v=""/>
    <s v=""/>
    <s v=""/>
  </r>
  <r>
    <x v="0"/>
    <x v="159"/>
    <x v="14"/>
    <n v="0"/>
    <x v="1"/>
    <n v="1"/>
    <n v="3000"/>
    <s v="Investimentos BB"/>
    <n v="3000"/>
    <x v="1"/>
    <n v="9"/>
    <x v="3"/>
    <n v="5"/>
    <e v="#DIV/0!"/>
    <e v="#DIV/0!"/>
    <s v=""/>
    <s v=""/>
    <s v=""/>
    <s v=""/>
    <s v=""/>
  </r>
  <r>
    <x v="2"/>
    <x v="160"/>
    <x v="23"/>
    <s v="BRL"/>
    <x v="24"/>
    <n v="1"/>
    <n v="2192.1491799999999"/>
    <s v="Banco do Brasil"/>
    <n v="2192.1491799999999"/>
    <x v="1"/>
    <n v="9"/>
    <x v="3"/>
    <n v="15"/>
    <n v="1629.9930261538464"/>
    <n v="1629.9930261538464"/>
    <s v=""/>
    <s v=""/>
    <s v=""/>
    <s v=""/>
    <s v=""/>
  </r>
  <r>
    <x v="2"/>
    <x v="160"/>
    <x v="27"/>
    <s v="BRL"/>
    <x v="18"/>
    <n v="1"/>
    <n v="400"/>
    <s v="Banco do Brasil"/>
    <n v="400"/>
    <x v="1"/>
    <n v="9"/>
    <x v="3"/>
    <n v="15"/>
    <n v="400"/>
    <n v="400"/>
    <s v=""/>
    <s v=""/>
    <s v=""/>
    <s v=""/>
    <s v=""/>
  </r>
  <r>
    <x v="2"/>
    <x v="160"/>
    <x v="20"/>
    <s v="BRL"/>
    <x v="13"/>
    <n v="1"/>
    <n v="39.9"/>
    <s v="Banco do Brasil"/>
    <n v="39.9"/>
    <x v="1"/>
    <n v="9"/>
    <x v="3"/>
    <n v="15"/>
    <n v="59.90000000000002"/>
    <n v="59.90000000000002"/>
    <s v=""/>
    <s v=""/>
    <s v=""/>
    <s v=""/>
    <s v=""/>
  </r>
  <r>
    <x v="2"/>
    <x v="160"/>
    <x v="20"/>
    <s v="BRL"/>
    <x v="14"/>
    <n v="1"/>
    <n v="79.900000000000006"/>
    <s v="Banco do Brasil"/>
    <n v="79.900000000000006"/>
    <x v="1"/>
    <n v="9"/>
    <x v="3"/>
    <n v="15"/>
    <n v="59.90000000000002"/>
    <n v="59.90000000000002"/>
    <s v=""/>
    <s v=""/>
    <s v=""/>
    <s v=""/>
    <s v=""/>
  </r>
  <r>
    <x v="2"/>
    <x v="160"/>
    <x v="21"/>
    <s v="BRL"/>
    <x v="15"/>
    <n v="1"/>
    <n v="110"/>
    <s v="Banco do Brasil"/>
    <n v="110"/>
    <x v="1"/>
    <n v="9"/>
    <x v="3"/>
    <n v="15"/>
    <n v="110"/>
    <n v="110"/>
    <s v=""/>
    <s v=""/>
    <s v=""/>
    <s v=""/>
    <s v=""/>
  </r>
  <r>
    <x v="2"/>
    <x v="160"/>
    <x v="17"/>
    <s v="BRL"/>
    <x v="10"/>
    <n v="1"/>
    <n v="25"/>
    <s v="Banco do Brasil"/>
    <n v="25"/>
    <x v="1"/>
    <n v="9"/>
    <x v="3"/>
    <n v="15"/>
    <n v="25"/>
    <n v="25"/>
    <s v=""/>
    <s v=""/>
    <s v=""/>
    <s v=""/>
    <s v=""/>
  </r>
  <r>
    <x v="1"/>
    <x v="161"/>
    <x v="9"/>
    <s v="BRL"/>
    <x v="2"/>
    <n v="1"/>
    <n v="8000"/>
    <s v="Banco do Brasil"/>
    <n v="8000"/>
    <x v="1"/>
    <n v="10"/>
    <x v="3"/>
    <n v="5"/>
    <n v="7801.7948717948721"/>
    <n v="7801.7948717948721"/>
    <s v=""/>
    <s v=""/>
    <s v=""/>
    <s v=""/>
    <s v=""/>
  </r>
  <r>
    <x v="0"/>
    <x v="161"/>
    <x v="14"/>
    <n v="0"/>
    <x v="1"/>
    <n v="1"/>
    <n v="3000"/>
    <s v="Investimentos BB"/>
    <n v="3000"/>
    <x v="1"/>
    <n v="10"/>
    <x v="3"/>
    <n v="5"/>
    <e v="#DIV/0!"/>
    <e v="#DIV/0!"/>
    <s v=""/>
    <s v=""/>
    <s v=""/>
    <n v="0"/>
    <s v=""/>
  </r>
  <r>
    <x v="2"/>
    <x v="162"/>
    <x v="23"/>
    <s v="BRL"/>
    <x v="24"/>
    <n v="1"/>
    <n v="2192.1283400000002"/>
    <s v="Banco do Brasil"/>
    <n v="2192.1283400000002"/>
    <x v="1"/>
    <n v="10"/>
    <x v="3"/>
    <n v="15"/>
    <n v="1629.9930261538464"/>
    <n v="1629.9930261538464"/>
    <s v=""/>
    <s v=""/>
    <s v=""/>
    <s v=""/>
    <s v=""/>
  </r>
  <r>
    <x v="2"/>
    <x v="162"/>
    <x v="27"/>
    <s v="BRL"/>
    <x v="18"/>
    <n v="1"/>
    <n v="400"/>
    <s v="Banco do Brasil"/>
    <n v="400"/>
    <x v="1"/>
    <n v="10"/>
    <x v="3"/>
    <n v="15"/>
    <n v="400"/>
    <n v="400"/>
    <s v=""/>
    <s v=""/>
    <s v=""/>
    <s v=""/>
    <s v=""/>
  </r>
  <r>
    <x v="2"/>
    <x v="162"/>
    <x v="20"/>
    <s v="BRL"/>
    <x v="13"/>
    <n v="1"/>
    <n v="39.9"/>
    <s v="Banco do Brasil"/>
    <n v="39.9"/>
    <x v="1"/>
    <n v="10"/>
    <x v="3"/>
    <n v="15"/>
    <n v="59.90000000000002"/>
    <n v="59.90000000000002"/>
    <s v=""/>
    <s v=""/>
    <s v=""/>
    <s v=""/>
    <s v=""/>
  </r>
  <r>
    <x v="2"/>
    <x v="162"/>
    <x v="20"/>
    <s v="BRL"/>
    <x v="14"/>
    <n v="1"/>
    <n v="79.900000000000006"/>
    <s v="Banco do Brasil"/>
    <n v="79.900000000000006"/>
    <x v="1"/>
    <n v="10"/>
    <x v="3"/>
    <n v="15"/>
    <n v="59.90000000000002"/>
    <n v="59.90000000000002"/>
    <s v=""/>
    <s v=""/>
    <s v=""/>
    <s v=""/>
    <s v=""/>
  </r>
  <r>
    <x v="2"/>
    <x v="162"/>
    <x v="21"/>
    <s v="BRL"/>
    <x v="15"/>
    <n v="1"/>
    <n v="110"/>
    <s v="Banco do Brasil"/>
    <n v="110"/>
    <x v="1"/>
    <n v="10"/>
    <x v="3"/>
    <n v="15"/>
    <n v="110"/>
    <n v="110"/>
    <s v=""/>
    <s v=""/>
    <s v=""/>
    <s v=""/>
    <s v=""/>
  </r>
  <r>
    <x v="2"/>
    <x v="162"/>
    <x v="17"/>
    <s v="BRL"/>
    <x v="10"/>
    <n v="1"/>
    <n v="25"/>
    <s v="Banco do Brasil"/>
    <n v="25"/>
    <x v="1"/>
    <n v="10"/>
    <x v="3"/>
    <n v="15"/>
    <n v="25"/>
    <n v="25"/>
    <s v=""/>
    <s v=""/>
    <s v=""/>
    <s v=""/>
    <s v=""/>
  </r>
  <r>
    <x v="1"/>
    <x v="163"/>
    <x v="9"/>
    <s v="BRL"/>
    <x v="2"/>
    <n v="1"/>
    <n v="8000"/>
    <s v="Banco do Brasil"/>
    <n v="8000"/>
    <x v="1"/>
    <n v="11"/>
    <x v="3"/>
    <n v="5"/>
    <n v="7801.7948717948721"/>
    <n v="7801.7948717948721"/>
    <s v=""/>
    <s v=""/>
    <s v=""/>
    <s v=""/>
    <s v=""/>
  </r>
  <r>
    <x v="0"/>
    <x v="163"/>
    <x v="14"/>
    <n v="0"/>
    <x v="1"/>
    <n v="1"/>
    <n v="3000"/>
    <s v="Investimentos BB"/>
    <n v="3000"/>
    <x v="1"/>
    <n v="11"/>
    <x v="3"/>
    <n v="5"/>
    <e v="#DIV/0!"/>
    <e v="#DIV/0!"/>
    <s v=""/>
    <s v=""/>
    <s v=""/>
    <n v="0"/>
    <s v=""/>
  </r>
  <r>
    <x v="2"/>
    <x v="164"/>
    <x v="23"/>
    <s v="BRL"/>
    <x v="24"/>
    <n v="1"/>
    <n v="2192.1179200000001"/>
    <s v="Banco do Brasil"/>
    <n v="2192.1179200000001"/>
    <x v="1"/>
    <n v="11"/>
    <x v="3"/>
    <n v="15"/>
    <n v="1629.9930261538464"/>
    <n v="1629.9930261538464"/>
    <s v=""/>
    <s v=""/>
    <s v=""/>
    <s v=""/>
    <s v=""/>
  </r>
  <r>
    <x v="2"/>
    <x v="164"/>
    <x v="27"/>
    <s v="BRL"/>
    <x v="18"/>
    <n v="1"/>
    <n v="400"/>
    <s v="Banco do Brasil"/>
    <n v="400"/>
    <x v="1"/>
    <n v="11"/>
    <x v="3"/>
    <n v="15"/>
    <n v="400"/>
    <n v="400"/>
    <s v=""/>
    <s v=""/>
    <s v=""/>
    <s v=""/>
    <s v=""/>
  </r>
  <r>
    <x v="2"/>
    <x v="164"/>
    <x v="20"/>
    <s v="BRL"/>
    <x v="13"/>
    <n v="1"/>
    <n v="39.9"/>
    <s v="Banco do Brasil"/>
    <n v="39.9"/>
    <x v="1"/>
    <n v="11"/>
    <x v="3"/>
    <n v="15"/>
    <n v="59.90000000000002"/>
    <n v="59.90000000000002"/>
    <s v=""/>
    <s v=""/>
    <s v=""/>
    <s v=""/>
    <s v=""/>
  </r>
  <r>
    <x v="2"/>
    <x v="164"/>
    <x v="20"/>
    <s v="BRL"/>
    <x v="14"/>
    <n v="1"/>
    <n v="79.900000000000006"/>
    <s v="Banco do Brasil"/>
    <n v="79.900000000000006"/>
    <x v="1"/>
    <n v="11"/>
    <x v="3"/>
    <n v="15"/>
    <n v="59.90000000000002"/>
    <n v="59.90000000000002"/>
    <s v=""/>
    <s v=""/>
    <s v=""/>
    <s v=""/>
    <s v=""/>
  </r>
  <r>
    <x v="2"/>
    <x v="164"/>
    <x v="21"/>
    <s v="BRL"/>
    <x v="15"/>
    <n v="1"/>
    <n v="110"/>
    <s v="Banco do Brasil"/>
    <n v="110"/>
    <x v="1"/>
    <n v="11"/>
    <x v="3"/>
    <n v="15"/>
    <n v="110"/>
    <n v="110"/>
    <s v=""/>
    <s v=""/>
    <s v=""/>
    <s v=""/>
    <s v=""/>
  </r>
  <r>
    <x v="2"/>
    <x v="164"/>
    <x v="17"/>
    <s v="BRL"/>
    <x v="10"/>
    <n v="1"/>
    <n v="25"/>
    <s v="Banco do Brasil"/>
    <n v="25"/>
    <x v="1"/>
    <n v="11"/>
    <x v="3"/>
    <n v="15"/>
    <n v="25"/>
    <n v="25"/>
    <s v=""/>
    <s v=""/>
    <s v=""/>
    <s v=""/>
    <s v=""/>
  </r>
  <r>
    <x v="1"/>
    <x v="165"/>
    <x v="9"/>
    <s v="BRL"/>
    <x v="2"/>
    <n v="1"/>
    <n v="8000"/>
    <s v="Banco do Brasil"/>
    <n v="8000"/>
    <x v="1"/>
    <n v="12"/>
    <x v="3"/>
    <n v="5"/>
    <n v="7801.7948717948721"/>
    <n v="7801.7948717948721"/>
    <s v=""/>
    <s v=""/>
    <s v=""/>
    <s v=""/>
    <s v=""/>
  </r>
  <r>
    <x v="0"/>
    <x v="165"/>
    <x v="14"/>
    <n v="0"/>
    <x v="1"/>
    <n v="1"/>
    <n v="3000"/>
    <s v="Investimentos BB"/>
    <n v="3000"/>
    <x v="1"/>
    <n v="12"/>
    <x v="3"/>
    <n v="5"/>
    <e v="#DIV/0!"/>
    <e v="#DIV/0!"/>
    <s v=""/>
    <s v=""/>
    <s v=""/>
    <n v="0"/>
    <s v=""/>
  </r>
  <r>
    <x v="2"/>
    <x v="166"/>
    <x v="23"/>
    <s v="BRL"/>
    <x v="24"/>
    <n v="1"/>
    <n v="2192.0970799999996"/>
    <s v="Banco do Brasil"/>
    <n v="2192.0970799999996"/>
    <x v="1"/>
    <n v="12"/>
    <x v="3"/>
    <n v="15"/>
    <n v="1629.9930261538464"/>
    <n v="1629.9930261538464"/>
    <s v=""/>
    <s v=""/>
    <s v=""/>
    <s v=""/>
    <s v=""/>
  </r>
  <r>
    <x v="2"/>
    <x v="166"/>
    <x v="27"/>
    <s v="BRL"/>
    <x v="18"/>
    <n v="1"/>
    <n v="400"/>
    <s v="Banco do Brasil"/>
    <n v="400"/>
    <x v="1"/>
    <n v="12"/>
    <x v="3"/>
    <n v="15"/>
    <n v="400"/>
    <n v="400"/>
    <s v=""/>
    <s v=""/>
    <s v=""/>
    <s v=""/>
    <s v=""/>
  </r>
  <r>
    <x v="2"/>
    <x v="166"/>
    <x v="20"/>
    <s v="BRL"/>
    <x v="13"/>
    <n v="1"/>
    <n v="39.9"/>
    <s v="Banco do Brasil"/>
    <n v="39.9"/>
    <x v="1"/>
    <n v="12"/>
    <x v="3"/>
    <n v="15"/>
    <n v="59.90000000000002"/>
    <n v="59.90000000000002"/>
    <s v=""/>
    <s v=""/>
    <s v=""/>
    <s v=""/>
    <s v=""/>
  </r>
  <r>
    <x v="2"/>
    <x v="166"/>
    <x v="20"/>
    <s v="BRL"/>
    <x v="14"/>
    <n v="1"/>
    <n v="79.900000000000006"/>
    <s v="Banco do Brasil"/>
    <n v="79.900000000000006"/>
    <x v="1"/>
    <n v="12"/>
    <x v="3"/>
    <n v="15"/>
    <n v="59.90000000000002"/>
    <n v="59.90000000000002"/>
    <s v=""/>
    <s v=""/>
    <s v=""/>
    <s v=""/>
    <s v=""/>
  </r>
  <r>
    <x v="2"/>
    <x v="166"/>
    <x v="21"/>
    <s v="BRL"/>
    <x v="15"/>
    <n v="1"/>
    <n v="110"/>
    <s v="Banco do Brasil"/>
    <n v="110"/>
    <x v="1"/>
    <n v="12"/>
    <x v="3"/>
    <n v="15"/>
    <n v="110"/>
    <n v="110"/>
    <s v=""/>
    <s v=""/>
    <s v=""/>
    <s v=""/>
    <s v=""/>
  </r>
  <r>
    <x v="2"/>
    <x v="166"/>
    <x v="17"/>
    <s v="BRL"/>
    <x v="10"/>
    <n v="1"/>
    <n v="25"/>
    <s v="Banco do Brasil"/>
    <n v="25"/>
    <x v="1"/>
    <n v="12"/>
    <x v="3"/>
    <n v="15"/>
    <n v="25"/>
    <n v="25"/>
    <s v=""/>
    <s v=""/>
    <s v=""/>
    <s v=""/>
    <s v=""/>
  </r>
  <r>
    <x v="0"/>
    <x v="167"/>
    <x v="6"/>
    <s v="BRL"/>
    <x v="1"/>
    <n v="2"/>
    <n v="17.18"/>
    <s v="Investimentos BB"/>
    <n v="34.36"/>
    <x v="0"/>
    <n v="10"/>
    <x v="0"/>
    <n v="26"/>
    <n v="19.0425"/>
    <n v="38.085000000000001"/>
    <n v="17.760000000000002"/>
    <n v="35.520000000000003"/>
    <n v="-2.5649999999999977"/>
    <n v="1.66E-2"/>
    <n v="-6.7349350137849484E-2"/>
  </r>
  <r>
    <x v="0"/>
    <x v="167"/>
    <x v="1"/>
    <s v="BRL"/>
    <x v="0"/>
    <n v="4"/>
    <n v="8.9600000000000009"/>
    <s v="Investimentos BB"/>
    <n v="35.840000000000003"/>
    <x v="0"/>
    <n v="10"/>
    <x v="0"/>
    <n v="26"/>
    <n v="9.1778571428571443"/>
    <n v="36.711428571428577"/>
    <n v="9.01"/>
    <n v="36.04"/>
    <n v="-0.67142857142857792"/>
    <n v="-1.0976999999999999E-2"/>
    <n v="-1.8289361039769806E-2"/>
  </r>
  <r>
    <x v="0"/>
    <x v="167"/>
    <x v="2"/>
    <s v="BRL"/>
    <x v="0"/>
    <n v="2"/>
    <n v="8.6999999999999993"/>
    <s v="Investimentos BB"/>
    <n v="17.399999999999999"/>
    <x v="0"/>
    <n v="10"/>
    <x v="0"/>
    <n v="26"/>
    <n v="8.98"/>
    <n v="17.96"/>
    <n v="8.91"/>
    <n v="17.82"/>
    <n v="-0.14000000000000057"/>
    <n v="-7.7949999999999998E-3"/>
    <n v="-7.7951002227171808E-3"/>
  </r>
  <r>
    <x v="0"/>
    <x v="167"/>
    <x v="4"/>
    <s v="BRL"/>
    <x v="1"/>
    <n v="3"/>
    <n v="13.43"/>
    <s v="Investimentos BB"/>
    <n v="40.29"/>
    <x v="0"/>
    <n v="10"/>
    <x v="0"/>
    <n v="26"/>
    <n v="13.9275"/>
    <n v="41.782499999999999"/>
    <n v="13.9"/>
    <n v="41.7"/>
    <n v="-8.2499999999996021E-2"/>
    <n v="-1.4184E-2"/>
    <n v="-1.9745108598096337E-3"/>
  </r>
  <r>
    <x v="0"/>
    <x v="167"/>
    <x v="3"/>
    <s v="BRL"/>
    <x v="1"/>
    <n v="1"/>
    <n v="6.98"/>
    <s v="Investimentos BB"/>
    <n v="6.98"/>
    <x v="0"/>
    <n v="10"/>
    <x v="0"/>
    <n v="26"/>
    <n v="7.2909999999999995"/>
    <n v="7.2909999999999995"/>
    <n v="6.72"/>
    <n v="6.72"/>
    <n v="-0.57099999999999973"/>
    <n v="-1.1765000000000001E-2"/>
    <n v="-7.8315731724043311E-2"/>
  </r>
  <r>
    <x v="0"/>
    <x v="167"/>
    <x v="5"/>
    <s v="BRL"/>
    <x v="1"/>
    <n v="1"/>
    <n v="26.06"/>
    <s v="Investimentos BB"/>
    <n v="26.06"/>
    <x v="0"/>
    <n v="10"/>
    <x v="0"/>
    <n v="26"/>
    <n v="29.335000000000001"/>
    <n v="29.335000000000001"/>
    <n v="25.62"/>
    <n v="25.62"/>
    <n v="-3.7149999999999999"/>
    <n v="1.3849999999999999E-2"/>
    <n v="-0.12664053178796658"/>
  </r>
  <r>
    <x v="0"/>
    <x v="167"/>
    <x v="8"/>
    <s v="BRL"/>
    <x v="1"/>
    <n v="1"/>
    <n v="37.11"/>
    <s v="Investimentos BB"/>
    <n v="37.11"/>
    <x v="0"/>
    <n v="10"/>
    <x v="0"/>
    <n v="26"/>
    <n v="40.853333333333332"/>
    <n v="40.853333333333332"/>
    <n v="35.54"/>
    <n v="35.54"/>
    <n v="-5.3133333333333326"/>
    <n v="2.0091999999999999E-2"/>
    <n v="-0.13005874673629242"/>
  </r>
  <r>
    <x v="0"/>
    <x v="167"/>
    <x v="28"/>
    <s v="BRL"/>
    <x v="0"/>
    <m/>
    <m/>
    <s v="Investimentos BB"/>
    <n v="0"/>
    <x v="0"/>
    <n v="10"/>
    <x v="0"/>
    <n v="26"/>
    <e v="#DIV/0!"/>
    <e v="#DIV/0!"/>
    <n v="92.32"/>
    <n v="0"/>
    <s v=""/>
    <n v="-8.5909999999999997E-3"/>
    <s v=""/>
  </r>
  <r>
    <x v="0"/>
    <x v="167"/>
    <x v="29"/>
    <s v="BRL"/>
    <x v="0"/>
    <m/>
    <m/>
    <s v="Investimentos BB"/>
    <n v="0"/>
    <x v="0"/>
    <n v="10"/>
    <x v="0"/>
    <n v="26"/>
    <e v="#DIV/0!"/>
    <e v="#DIV/0!"/>
    <n v="149.68"/>
    <n v="0"/>
    <s v=""/>
    <n v="-1.3316E-2"/>
    <s v=""/>
  </r>
  <r>
    <x v="0"/>
    <x v="167"/>
    <x v="30"/>
    <s v="BRL"/>
    <x v="0"/>
    <m/>
    <m/>
    <s v="Investimentos BB"/>
    <n v="0"/>
    <x v="0"/>
    <n v="10"/>
    <x v="0"/>
    <n v="26"/>
    <e v="#DIV/0!"/>
    <e v="#DIV/0!"/>
    <n v="152.63999999999999"/>
    <n v="0"/>
    <s v=""/>
    <n v="-5.2790000000000007E-3"/>
    <s v=""/>
  </r>
  <r>
    <x v="0"/>
    <x v="167"/>
    <x v="31"/>
    <s v="BRL"/>
    <x v="0"/>
    <m/>
    <m/>
    <s v="Investimentos BB"/>
    <n v="0"/>
    <x v="0"/>
    <n v="10"/>
    <x v="0"/>
    <n v="26"/>
    <e v="#DIV/0!"/>
    <e v="#DIV/0!"/>
    <n v="98.99"/>
    <n v="0"/>
    <s v=""/>
    <n v="-1.1583000000000001E-2"/>
    <s v=""/>
  </r>
  <r>
    <x v="0"/>
    <x v="167"/>
    <x v="32"/>
    <s v="BRL"/>
    <x v="0"/>
    <m/>
    <m/>
    <s v="Investimentos BB"/>
    <n v="0"/>
    <x v="0"/>
    <n v="10"/>
    <x v="0"/>
    <n v="26"/>
    <e v="#DIV/0!"/>
    <e v="#DIV/0!"/>
    <n v="99.91"/>
    <n v="0"/>
    <s v=""/>
    <n v="-2.8939999999999999E-3"/>
    <s v=""/>
  </r>
  <r>
    <x v="0"/>
    <x v="168"/>
    <x v="33"/>
    <s v="BRL"/>
    <x v="0"/>
    <n v="1"/>
    <n v="86.95"/>
    <s v="Investimentos BB"/>
    <n v="86.95"/>
    <x v="0"/>
    <n v="10"/>
    <x v="0"/>
    <n v="27"/>
    <n v="86.95"/>
    <n v="86.95"/>
    <n v="86.75"/>
    <n v="86.75"/>
    <n v="-0.20000000000000284"/>
    <n v="-1.4205000000000001E-2"/>
    <n v="-2.3001725129385029E-3"/>
  </r>
  <r>
    <x v="0"/>
    <x v="167"/>
    <x v="34"/>
    <s v="BRL"/>
    <x v="0"/>
    <m/>
    <m/>
    <s v="Investimentos BB"/>
    <n v="0"/>
    <x v="0"/>
    <n v="10"/>
    <x v="0"/>
    <n v="26"/>
    <e v="#DIV/0!"/>
    <e v="#DIV/0!"/>
    <n v="104.91"/>
    <n v="0"/>
    <s v=""/>
    <n v="5.849E-3"/>
    <s v=""/>
  </r>
  <r>
    <x v="0"/>
    <x v="168"/>
    <x v="8"/>
    <s v="BRL"/>
    <x v="1"/>
    <n v="1"/>
    <n v="35.950000000000003"/>
    <s v="Investimentos BB"/>
    <n v="35.950000000000003"/>
    <x v="0"/>
    <n v="10"/>
    <x v="0"/>
    <n v="27"/>
    <n v="40.853333333333332"/>
    <n v="40.853333333333332"/>
    <n v="35.54"/>
    <n v="35.54"/>
    <n v="-5.3133333333333326"/>
    <n v="2.0091999999999999E-2"/>
    <n v="-0.13005874673629242"/>
  </r>
  <r>
    <x v="0"/>
    <x v="168"/>
    <x v="0"/>
    <s v="BRL"/>
    <x v="0"/>
    <n v="5"/>
    <n v="8.2899999999999991"/>
    <s v="Investimentos BB"/>
    <n v="41.449999999999996"/>
    <x v="0"/>
    <n v="10"/>
    <x v="0"/>
    <n v="27"/>
    <n v="8.472999999999999"/>
    <n v="42.364999999999995"/>
    <n v="8.35"/>
    <n v="41.75"/>
    <n v="-0.61499999999999488"/>
    <n v="-4.4622000000000002E-2"/>
    <n v="-1.4516700106219638E-2"/>
  </r>
  <r>
    <x v="0"/>
    <x v="168"/>
    <x v="1"/>
    <s v="BRL"/>
    <x v="0"/>
    <n v="3"/>
    <n v="9.0299999999999994"/>
    <s v="Investimentos BB"/>
    <n v="27.089999999999996"/>
    <x v="0"/>
    <n v="10"/>
    <x v="0"/>
    <n v="27"/>
    <n v="9.1778571428571443"/>
    <n v="27.533571428571435"/>
    <n v="9.01"/>
    <n v="27.03"/>
    <n v="-0.50357142857143344"/>
    <n v="-1.0976999999999999E-2"/>
    <n v="-1.8289361039769806E-2"/>
  </r>
  <r>
    <x v="0"/>
    <x v="168"/>
    <x v="2"/>
    <s v="BRL"/>
    <x v="0"/>
    <n v="1"/>
    <n v="8.91"/>
    <s v="Investimentos BB"/>
    <n v="8.91"/>
    <x v="0"/>
    <n v="10"/>
    <x v="0"/>
    <n v="27"/>
    <n v="8.98"/>
    <n v="8.98"/>
    <n v="8.91"/>
    <n v="8.91"/>
    <n v="-7.0000000000000284E-2"/>
    <n v="-7.7949999999999998E-3"/>
    <n v="-7.7951002227171808E-3"/>
  </r>
  <r>
    <x v="0"/>
    <x v="168"/>
    <x v="3"/>
    <s v="BRL"/>
    <x v="1"/>
    <n v="4"/>
    <n v="6.75"/>
    <s v="Investimentos BB"/>
    <n v="27"/>
    <x v="0"/>
    <n v="10"/>
    <x v="0"/>
    <n v="27"/>
    <n v="7.2909999999999995"/>
    <n v="29.163999999999998"/>
    <n v="6.72"/>
    <n v="26.88"/>
    <n v="-2.2839999999999989"/>
    <n v="-1.1765000000000001E-2"/>
    <n v="-7.8315731724043311E-2"/>
  </r>
  <r>
    <x v="0"/>
    <x v="168"/>
    <x v="6"/>
    <s v="BRL"/>
    <x v="1"/>
    <n v="1"/>
    <n v="17.77"/>
    <s v="Investimentos BB"/>
    <n v="17.77"/>
    <x v="0"/>
    <n v="10"/>
    <x v="0"/>
    <n v="27"/>
    <n v="19.0425"/>
    <n v="19.0425"/>
    <n v="17.760000000000002"/>
    <n v="17.760000000000002"/>
    <n v="-1.2824999999999989"/>
    <n v="1.66E-2"/>
    <n v="-6.7349350137849484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B39ED-B443-4683-9932-9A426E496B8D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#">
  <location ref="B5:J24" firstHeaderRow="0" firstDataRow="1" firstDataCol="1" rowPageCount="2" colPageCount="1"/>
  <pivotFields count="27">
    <pivotField axis="axisPage" multipleItemSelectionAllowed="1" showAll="0">
      <items count="5">
        <item x="0"/>
        <item m="1" x="3"/>
        <item h="1" x="2"/>
        <item h="1" x="1"/>
        <item t="default"/>
      </items>
    </pivotField>
    <pivotField numFmtId="14" showAll="0">
      <items count="1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8"/>
        <item x="15"/>
        <item x="21"/>
        <item x="20"/>
        <item x="16"/>
        <item x="14"/>
        <item x="17"/>
        <item x="19"/>
        <item x="22"/>
        <item x="27"/>
        <item x="24"/>
        <item x="30"/>
        <item x="29"/>
        <item x="25"/>
        <item x="23"/>
        <item x="26"/>
        <item x="28"/>
        <item x="31"/>
        <item x="39"/>
        <item x="47"/>
        <item x="55"/>
        <item x="63"/>
        <item x="72"/>
        <item x="81"/>
        <item x="89"/>
        <item x="97"/>
        <item x="104"/>
        <item x="112"/>
        <item x="35"/>
        <item x="32"/>
        <item x="38"/>
        <item x="37"/>
        <item x="33"/>
        <item x="34"/>
        <item x="36"/>
        <item x="43"/>
        <item x="40"/>
        <item x="46"/>
        <item x="45"/>
        <item x="41"/>
        <item x="42"/>
        <item x="44"/>
        <item x="51"/>
        <item x="48"/>
        <item x="54"/>
        <item x="53"/>
        <item x="49"/>
        <item x="50"/>
        <item x="52"/>
        <item x="59"/>
        <item x="56"/>
        <item x="62"/>
        <item x="61"/>
        <item x="57"/>
        <item x="58"/>
        <item x="60"/>
        <item x="68"/>
        <item x="65"/>
        <item x="71"/>
        <item x="70"/>
        <item x="66"/>
        <item x="67"/>
        <item x="64"/>
        <item x="69"/>
        <item x="77"/>
        <item x="74"/>
        <item x="80"/>
        <item x="79"/>
        <item x="75"/>
        <item x="76"/>
        <item x="73"/>
        <item x="78"/>
        <item x="85"/>
        <item x="82"/>
        <item x="88"/>
        <item x="87"/>
        <item x="83"/>
        <item x="84"/>
        <item x="86"/>
        <item x="90"/>
        <item x="93"/>
        <item x="96"/>
        <item x="95"/>
        <item x="91"/>
        <item x="92"/>
        <item x="94"/>
        <item x="100"/>
        <item x="98"/>
        <item x="103"/>
        <item x="102"/>
        <item x="99"/>
        <item x="101"/>
        <item x="106"/>
        <item x="108"/>
        <item x="111"/>
        <item x="110"/>
        <item x="105"/>
        <item x="107"/>
        <item x="109"/>
        <item x="114"/>
        <item x="115"/>
        <item x="118"/>
        <item x="117"/>
        <item x="113"/>
        <item x="116"/>
        <item x="120"/>
        <item x="122"/>
        <item x="124"/>
        <item x="126"/>
        <item x="128"/>
        <item x="130"/>
        <item x="132"/>
        <item x="136"/>
        <item x="138"/>
        <item x="140"/>
        <item x="142"/>
        <item x="144"/>
        <item x="146"/>
        <item x="148"/>
        <item x="150"/>
        <item x="152"/>
        <item x="154"/>
        <item x="156"/>
        <item x="158"/>
        <item x="160"/>
        <item x="162"/>
        <item x="164"/>
        <item x="166"/>
        <item x="119"/>
        <item x="121"/>
        <item x="123"/>
        <item x="125"/>
        <item x="127"/>
        <item x="129"/>
        <item x="131"/>
        <item x="133"/>
        <item x="135"/>
        <item x="137"/>
        <item x="139"/>
        <item x="141"/>
        <item x="143"/>
        <item x="145"/>
        <item x="147"/>
        <item x="149"/>
        <item x="151"/>
        <item x="153"/>
        <item x="155"/>
        <item x="157"/>
        <item x="159"/>
        <item x="161"/>
        <item x="163"/>
        <item x="165"/>
        <item x="134"/>
        <item x="167"/>
        <item x="168"/>
        <item t="default"/>
      </items>
    </pivotField>
    <pivotField axis="axisRow" showAll="0">
      <items count="36">
        <item x="6"/>
        <item x="7"/>
        <item x="8"/>
        <item x="0"/>
        <item x="4"/>
        <item x="2"/>
        <item x="1"/>
        <item x="3"/>
        <item x="5"/>
        <item x="9"/>
        <item x="10"/>
        <item x="20"/>
        <item x="21"/>
        <item x="17"/>
        <item x="26"/>
        <item x="25"/>
        <item x="11"/>
        <item x="18"/>
        <item x="15"/>
        <item x="22"/>
        <item x="23"/>
        <item x="19"/>
        <item x="12"/>
        <item x="24"/>
        <item x="13"/>
        <item x="16"/>
        <item x="27"/>
        <item x="14"/>
        <item x="28"/>
        <item x="29"/>
        <item x="30"/>
        <item x="31"/>
        <item x="32"/>
        <item x="33"/>
        <item x="34"/>
        <item t="default"/>
      </items>
    </pivotField>
    <pivotField showAll="0"/>
    <pivotField axis="axisRow" showAll="0">
      <items count="26">
        <item x="1"/>
        <item x="0"/>
        <item x="2"/>
        <item x="3"/>
        <item x="13"/>
        <item x="14"/>
        <item x="15"/>
        <item x="10"/>
        <item x="19"/>
        <item x="18"/>
        <item x="4"/>
        <item x="5"/>
        <item x="11"/>
        <item x="8"/>
        <item x="16"/>
        <item x="17"/>
        <item x="12"/>
        <item x="6"/>
        <item x="7"/>
        <item x="20"/>
        <item x="21"/>
        <item x="9"/>
        <item x="22"/>
        <item x="23"/>
        <item x="24"/>
        <item t="default"/>
      </items>
    </pivotField>
    <pivotField dataField="1" showAll="0"/>
    <pivotField numFmtId="44" showAll="0"/>
    <pivotField showAll="0"/>
    <pivotField numFmtId="44"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dataField="1" numFmtId="44" showAll="0"/>
    <pivotField dataField="1" numFmtId="44" showAll="0"/>
    <pivotField dataField="1" showAll="0"/>
    <pivotField dataField="1" showAll="0"/>
    <pivotField numFmtId="10" showAll="0"/>
    <pivotField dataField="1" dragToRow="0" dragToCol="0" dragToPage="0" showAll="0" defaultSubtota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4"/>
    <field x="2"/>
  </rowFields>
  <rowItems count="19">
    <i>
      <x/>
    </i>
    <i r="1">
      <x/>
    </i>
    <i r="1">
      <x v="1"/>
    </i>
    <i r="1">
      <x v="2"/>
    </i>
    <i r="1">
      <x v="4"/>
    </i>
    <i r="1">
      <x v="7"/>
    </i>
    <i r="1">
      <x v="8"/>
    </i>
    <i>
      <x v="1"/>
    </i>
    <i r="1">
      <x v="3"/>
    </i>
    <i r="1">
      <x v="5"/>
    </i>
    <i r="1">
      <x v="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0" hier="-1"/>
    <pageField fld="9" hier="-1"/>
  </pageFields>
  <dataFields count="8">
    <dataField name="COTAS" fld="5" baseField="0" baseItem="0"/>
    <dataField name="PREÇO NEGOCIADO" fld="13" subtotal="average" baseField="2" baseItem="8" numFmtId="2"/>
    <dataField name=" PREÇO MERCADO" fld="15" subtotal="average" baseField="2" baseItem="4" numFmtId="43"/>
    <dataField name="TOTAL NEGOCIADO" fld="14" baseField="2" baseItem="0"/>
    <dataField name="TOTAL MERCADO" fld="16" baseField="0" baseItem="0" numFmtId="43"/>
    <dataField name=" GANHO/_x000a_PERDA" fld="17" baseField="4" baseItem="0" numFmtId="166"/>
    <dataField name="VALORIZAÇÂO" fld="20" baseField="2" baseItem="1" numFmtId="10"/>
    <dataField name=" VARIAÇÃO REAL" fld="18" subtotal="average" baseField="2" baseItem="7" numFmtId="10"/>
  </dataFields>
  <formats count="47">
    <format dxfId="98">
      <pivotArea field="4" type="button" dataOnly="0" labelOnly="1" outline="0" axis="axisRow" fieldPosition="0"/>
    </format>
    <format dxfId="97">
      <pivotArea dataOnly="0" labelOnly="1" fieldPosition="0">
        <references count="1">
          <reference field="4" count="0"/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2">
          <reference field="2" count="6">
            <x v="0"/>
            <x v="1"/>
            <x v="2"/>
            <x v="4"/>
            <x v="7"/>
            <x v="8"/>
          </reference>
          <reference field="4" count="1" selected="0">
            <x v="0"/>
          </reference>
        </references>
      </pivotArea>
    </format>
    <format dxfId="94">
      <pivotArea dataOnly="0" labelOnly="1" fieldPosition="0">
        <references count="2">
          <reference field="2" count="3">
            <x v="3"/>
            <x v="5"/>
            <x v="6"/>
          </reference>
          <reference field="4" count="1" selected="0">
            <x v="1"/>
          </reference>
        </references>
      </pivotArea>
    </format>
    <format dxfId="93">
      <pivotArea field="4" type="button" dataOnly="0" labelOnly="1" outline="0" axis="axisRow" fieldPosition="0"/>
    </format>
    <format dxfId="92">
      <pivotArea dataOnly="0" labelOnly="1" outline="0" fieldPosition="0">
        <references count="1">
          <reference field="4294967294" count="3">
            <x v="0"/>
            <x v="2"/>
            <x v="4"/>
          </reference>
        </references>
      </pivotArea>
    </format>
    <format dxfId="91">
      <pivotArea field="4" type="button" dataOnly="0" labelOnly="1" outline="0" axis="axisRow" fieldPosition="0"/>
    </format>
    <format dxfId="90">
      <pivotArea dataOnly="0" labelOnly="1" outline="0" fieldPosition="0">
        <references count="1">
          <reference field="4294967294" count="3">
            <x v="0"/>
            <x v="2"/>
            <x v="4"/>
          </reference>
        </references>
      </pivotArea>
    </format>
    <format dxfId="8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8">
      <pivotArea outline="0" collapsedLevelsAreSubtotals="1" fieldPosition="0"/>
    </format>
    <format dxfId="87">
      <pivotArea dataOnly="0" labelOnly="1" outline="0" fieldPosition="0">
        <references count="1">
          <reference field="4294967294" count="3">
            <x v="0"/>
            <x v="2"/>
            <x v="4"/>
          </reference>
        </references>
      </pivotArea>
    </format>
    <format dxfId="86">
      <pivotArea outline="0" collapsedLevelsAreSubtotals="1" fieldPosition="0">
        <references count="1">
          <reference field="4294967294" count="2" selected="0">
            <x v="2"/>
            <x v="4"/>
          </reference>
        </references>
      </pivotArea>
    </format>
    <format dxfId="8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8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83">
      <pivotArea outline="0" fieldPosition="0">
        <references count="1">
          <reference field="4294967294" count="1">
            <x v="6"/>
          </reference>
        </references>
      </pivotArea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4" type="button" dataOnly="0" labelOnly="1" outline="0" axis="axisRow" fieldPosition="0"/>
    </format>
    <format dxfId="79">
      <pivotArea dataOnly="0" labelOnly="1" fieldPosition="0">
        <references count="1">
          <reference field="4" count="0"/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2">
          <reference field="2" count="6">
            <x v="0"/>
            <x v="1"/>
            <x v="2"/>
            <x v="4"/>
            <x v="7"/>
            <x v="8"/>
          </reference>
          <reference field="4" count="1" selected="0">
            <x v="0"/>
          </reference>
        </references>
      </pivotArea>
    </format>
    <format dxfId="76">
      <pivotArea dataOnly="0" labelOnly="1" fieldPosition="0">
        <references count="2">
          <reference field="2" count="3">
            <x v="3"/>
            <x v="5"/>
            <x v="6"/>
          </reference>
          <reference field="4" count="1" selected="0">
            <x v="1"/>
          </reference>
        </references>
      </pivotArea>
    </format>
    <format dxfId="75">
      <pivotArea dataOnly="0" labelOnly="1" outline="0" fieldPosition="0">
        <references count="1">
          <reference field="4294967294" count="4">
            <x v="0"/>
            <x v="2"/>
            <x v="4"/>
            <x v="6"/>
          </reference>
        </references>
      </pivotArea>
    </format>
    <format dxfId="74">
      <pivotArea outline="0" collapsedLevelsAreSubtotals="1" fieldPosition="0">
        <references count="1">
          <reference field="4294967294" count="2" selected="0">
            <x v="2"/>
            <x v="4"/>
          </reference>
        </references>
      </pivotArea>
    </format>
    <format dxfId="73">
      <pivotArea dataOnly="0" labelOnly="1" outline="0" fieldPosition="0">
        <references count="1">
          <reference field="4294967294" count="2">
            <x v="2"/>
            <x v="4"/>
          </reference>
        </references>
      </pivotArea>
    </format>
    <format dxfId="72">
      <pivotArea collapsedLevelsAreSubtotals="1" fieldPosition="0">
        <references count="1">
          <reference field="4" count="1">
            <x v="0"/>
          </reference>
        </references>
      </pivotArea>
    </format>
    <format dxfId="71">
      <pivotArea dataOnly="0" labelOnly="1" fieldPosition="0">
        <references count="1">
          <reference field="4" count="1">
            <x v="0"/>
          </reference>
        </references>
      </pivotArea>
    </format>
    <format dxfId="70">
      <pivotArea collapsedLevelsAreSubtotals="1" fieldPosition="0">
        <references count="1">
          <reference field="4" count="1">
            <x v="1"/>
          </reference>
        </references>
      </pivotArea>
    </format>
    <format dxfId="69">
      <pivotArea dataOnly="0" labelOnly="1" fieldPosition="0">
        <references count="1">
          <reference field="4" count="1">
            <x v="1"/>
          </reference>
        </references>
      </pivotArea>
    </format>
    <format dxfId="68">
      <pivotArea field="4" type="button" dataOnly="0" labelOnly="1" outline="0" axis="axisRow" fieldPosition="0"/>
    </format>
    <format dxfId="67">
      <pivotArea dataOnly="0" labelOnly="1" outline="0" fieldPosition="0">
        <references count="1">
          <reference field="4294967294" count="4">
            <x v="0"/>
            <x v="2"/>
            <x v="4"/>
            <x v="6"/>
          </reference>
        </references>
      </pivotArea>
    </format>
    <format dxfId="66">
      <pivotArea field="4" type="button" dataOnly="0" labelOnly="1" outline="0" axis="axisRow" fieldPosition="0"/>
    </format>
    <format dxfId="65">
      <pivotArea dataOnly="0" labelOnly="1" outline="0" fieldPosition="0">
        <references count="1">
          <reference field="4294967294" count="4">
            <x v="0"/>
            <x v="2"/>
            <x v="4"/>
            <x v="6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62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1">
      <pivotArea outline="0" fieldPosition="0">
        <references count="1">
          <reference field="4294967294" count="1">
            <x v="7"/>
          </reference>
        </references>
      </pivotArea>
    </format>
    <format dxfId="6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58">
      <pivotArea outline="0" fieldPosition="0">
        <references count="1">
          <reference field="4294967294" count="1">
            <x v="1"/>
          </reference>
        </references>
      </pivotArea>
    </format>
    <format dxfId="57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56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52">
      <pivotArea outline="0" fieldPosition="0">
        <references count="1">
          <reference field="4294967294" count="1">
            <x v="5"/>
          </reference>
        </references>
      </pivotArea>
    </format>
  </formats>
  <conditionalFormats count="6"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7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1">
            <reference field="4294967294" count="1" selected="0">
              <x v="7"/>
            </reference>
          </references>
        </pivotArea>
      </pivotAreas>
    </conditionalFormat>
    <conditionalFormat priority="11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12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A9A40-88C7-47F4-8E5D-69EBB7277289}" name="Tabela dinâmica1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chartFormat="30">
  <location ref="A3:D48" firstHeaderRow="1" firstDataRow="2" firstDataCol="1"/>
  <pivotFields count="27">
    <pivotField axis="axisCol" multipleItemSelectionAllowed="1" showAll="0">
      <items count="5">
        <item m="1" x="3"/>
        <item x="1"/>
        <item x="2"/>
        <item x="0"/>
        <item t="default"/>
      </items>
    </pivotField>
    <pivotField numFmtId="14" showAll="0">
      <items count="1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8"/>
        <item x="15"/>
        <item x="21"/>
        <item x="20"/>
        <item x="16"/>
        <item x="14"/>
        <item x="17"/>
        <item x="19"/>
        <item x="22"/>
        <item x="27"/>
        <item x="24"/>
        <item x="30"/>
        <item x="29"/>
        <item x="25"/>
        <item x="23"/>
        <item x="26"/>
        <item x="28"/>
        <item x="31"/>
        <item x="39"/>
        <item x="47"/>
        <item x="55"/>
        <item x="63"/>
        <item x="72"/>
        <item x="81"/>
        <item x="89"/>
        <item x="97"/>
        <item x="104"/>
        <item x="112"/>
        <item x="35"/>
        <item x="32"/>
        <item x="38"/>
        <item x="37"/>
        <item x="33"/>
        <item x="34"/>
        <item x="36"/>
        <item x="43"/>
        <item x="40"/>
        <item x="46"/>
        <item x="45"/>
        <item x="41"/>
        <item x="42"/>
        <item x="44"/>
        <item x="51"/>
        <item x="48"/>
        <item x="54"/>
        <item x="53"/>
        <item x="49"/>
        <item x="50"/>
        <item x="52"/>
        <item x="59"/>
        <item x="56"/>
        <item x="62"/>
        <item x="61"/>
        <item x="57"/>
        <item x="58"/>
        <item x="60"/>
        <item x="68"/>
        <item x="65"/>
        <item x="71"/>
        <item x="70"/>
        <item x="66"/>
        <item x="67"/>
        <item x="64"/>
        <item x="69"/>
        <item x="77"/>
        <item x="74"/>
        <item x="80"/>
        <item x="79"/>
        <item x="75"/>
        <item x="76"/>
        <item x="73"/>
        <item x="78"/>
        <item x="85"/>
        <item x="82"/>
        <item x="88"/>
        <item x="87"/>
        <item x="83"/>
        <item x="84"/>
        <item x="86"/>
        <item x="90"/>
        <item x="93"/>
        <item x="96"/>
        <item x="95"/>
        <item x="91"/>
        <item x="92"/>
        <item x="94"/>
        <item x="100"/>
        <item x="98"/>
        <item x="103"/>
        <item x="102"/>
        <item x="99"/>
        <item x="101"/>
        <item x="106"/>
        <item x="108"/>
        <item x="111"/>
        <item x="110"/>
        <item x="105"/>
        <item x="107"/>
        <item x="109"/>
        <item x="114"/>
        <item x="115"/>
        <item x="118"/>
        <item x="117"/>
        <item x="113"/>
        <item x="116"/>
        <item x="120"/>
        <item x="122"/>
        <item x="124"/>
        <item x="126"/>
        <item x="128"/>
        <item x="130"/>
        <item x="132"/>
        <item x="136"/>
        <item x="138"/>
        <item x="140"/>
        <item x="142"/>
        <item x="144"/>
        <item x="146"/>
        <item x="148"/>
        <item x="150"/>
        <item x="152"/>
        <item x="154"/>
        <item x="156"/>
        <item x="158"/>
        <item x="160"/>
        <item x="162"/>
        <item x="164"/>
        <item x="166"/>
        <item x="119"/>
        <item x="121"/>
        <item x="123"/>
        <item x="125"/>
        <item x="127"/>
        <item x="129"/>
        <item x="131"/>
        <item x="133"/>
        <item x="135"/>
        <item x="137"/>
        <item x="139"/>
        <item x="141"/>
        <item x="143"/>
        <item x="145"/>
        <item x="147"/>
        <item x="149"/>
        <item x="151"/>
        <item x="153"/>
        <item x="155"/>
        <item x="157"/>
        <item x="159"/>
        <item x="161"/>
        <item x="163"/>
        <item x="165"/>
        <item x="134"/>
        <item x="167"/>
        <item x="168"/>
        <item t="default"/>
      </items>
    </pivotField>
    <pivotField showAll="0"/>
    <pivotField showAll="0"/>
    <pivotField showAll="0"/>
    <pivotField showAll="0"/>
    <pivotField numFmtId="44" showAll="0"/>
    <pivotField showAll="0"/>
    <pivotField dataField="1" numFmtId="44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1"/>
    <field x="22"/>
  </rowFields>
  <rowItems count="44">
    <i>
      <x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0"/>
  </colFields>
  <colItems count="3">
    <i>
      <x v="1"/>
    </i>
    <i>
      <x v="2"/>
    </i>
    <i>
      <x v="3"/>
    </i>
  </colItems>
  <dataFields count="1">
    <dataField name="Soma de VALOR _x000a_TOTAL" fld="8" baseField="0" baseItem="0" numFmtId="44"/>
  </dataFields>
  <formats count="7">
    <format dxfId="44">
      <pivotArea dataOnly="0" labelOnly="1" fieldPosition="0">
        <references count="1">
          <reference field="0" count="0"/>
        </references>
      </pivotArea>
    </format>
    <format dxfId="43">
      <pivotArea type="origin" dataOnly="0" labelOnly="1" outline="0" fieldPosition="0"/>
    </format>
    <format dxfId="42">
      <pivotArea field="0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11" type="button" dataOnly="0" labelOnly="1" outline="0" axis="axisRow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collapsedLevelsAreSubtotals="1" fieldPosition="0">
        <references count="3">
          <reference field="0" count="1" selected="0">
            <x v="1"/>
          </reference>
          <reference field="11" count="1" selected="0">
            <x v="1"/>
          </reference>
          <reference field="22" count="1">
            <x v="10"/>
          </reference>
        </references>
      </pivotArea>
    </format>
  </formats>
  <chartFormats count="3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56">
  <rv s="0">
    <v>https://www.bing.com/financeapi/forcetrigger?t=aplygh&amp;q=BVMF%3aBBAS3&amp;form=skydnc</v>
    <v>Learn more on Bing</v>
  </rv>
  <rv s="1">
    <v>pt-BR</v>
    <v>aplygh</v>
    <v>268435456</v>
    <v>1</v>
    <v>Da plataforma Refinitiv</v>
    <v>0</v>
    <v>1</v>
    <v>Banco do Brasil S.A. (BVMF:BBAS3)</v>
    <v>3</v>
    <v>4</v>
    <v>Finance</v>
    <v>5</v>
    <v>27.36</v>
    <v>16.48</v>
    <v>BVMF</v>
    <v>5730834000</v>
    <v>18.309999999999999</v>
    <v>1808</v>
    <v>17.510000000000002</v>
    <v>0.75060000000000004</v>
    <v>B3 - Brazil Stock Exchange</v>
    <v>102066153540</v>
    <v>O BANCO DO BRASIL S.A. é uma empresa brasileira dedicada sobretudo ao setor financeiro. As atividades da Empresa estão divididas em cinco segmentos: bancário, investimentos, gestão de ativos, segurança e tipos de pagamento. O Banco também participa de outras atividades econômicas, como leasing e suporte operacional. O Banco tem clientes individuais e corporativos. Oferece uma variedade de produtos e serviços financeiros, como depósitos, contas poupança, gestão de ativos, empréstimos, e seguros de saúde, de vida e patrimonial. Além disso, oferece transações financeiras em várias formas, incluindo operações cambiais e atividades complementares, com ênfase na previdência privada, capitalização, valores mobiliários, corretagem, administração de cartões de crédito e de débito, consórcios, fundos de investimento e portfólios de gestão. O BANCO DO BRASIL S.A. atua nos mercados nacional e internacional.</v>
    <v>BVMF</v>
    <v>17.47</v>
    <v>85953</v>
    <v>46322.660308749997</v>
    <v>0</v>
    <v>36440220</v>
    <v>BRL</v>
    <v>Banco do Brasil S.A.</v>
    <v>Banco do Brasil S.A.</v>
    <v>18</v>
    <v>17.809999999999999</v>
    <v>Saun Quadra 05, Lote B Ed. BB, Asa Norte, NaN, BRASILIA, 70.040-912 BR</v>
    <v>Banking Services</v>
    <v>BBAS3</v>
    <v>Ações</v>
    <v>Banco do Brasil S.A. (BVMF:BBAS3)</v>
    <v>0.34</v>
    <v>1.9462E-2</v>
    <v>58653500</v>
  </rv>
  <rv s="2">
    <v>1</v>
  </rv>
  <rv s="0">
    <v>https://www.bing.com/financeapi/forcetrigger?t=apmik2&amp;q=BVMF%3aEQTL3&amp;form=skydnc</v>
    <v>Learn more on Bing</v>
  </rv>
  <rv s="1">
    <v>pt-BR</v>
    <v>apmik2</v>
    <v>268435456</v>
    <v>1</v>
    <v>Da plataforma Refinitiv</v>
    <v>0</v>
    <v>1</v>
    <v>EQUATORIAL S.A. (BVMF:EQTL3)</v>
    <v>3</v>
    <v>4</v>
    <v>Finance</v>
    <v>5</v>
    <v>51.26</v>
    <v>32</v>
    <v>BVMF</v>
    <v>1259439000</v>
    <v>36.270000000000003</v>
    <v>1999</v>
    <v>34.6</v>
    <v>0.74970000000000003</v>
    <v>B3 - Brazil Stock Exchange</v>
    <v>44924189130</v>
    <v>A Equatorial SA, anteriormente equatorial Energia SA, é uma holding sediada no Brasil que atua no setor de energia elétrica por meio de suas subsidiárias. É uma provedora de serviços de geração, comercialização, transmissão e distribuição, bem como serviços de saneamento e telecomunicações. As operações da Equatorial estão divididas em cinco segmentos econômicos: Distribuição, Transmissão (que inclui oito linhas de transmissão), Serviços (referentes às atividades de serviços prestados pela Equatorial Servicos SA e suas subsidiárias), outros, e Geração e Marketing. As principais operações da Companhia são realizadas por meio de subsidiárias localizadas nas regiões Nordeste, Norte, Centro-Oeste, Sudeste e Sul do Brasil.</v>
    <v>BVMF</v>
    <v>34.840000000000003</v>
    <v>1178</v>
    <v>46322.66028935185</v>
    <v>3</v>
    <v>16664050</v>
    <v>BRL</v>
    <v>EQUATORIAL S.A.</v>
    <v>EQUATORIAL S.A.</v>
    <v>35.21</v>
    <v>35.67</v>
    <v>Alameda A, n 100, Anexo B, Vinhais, SAO LUIS, MARANHAO, 65.070-900 BR</v>
    <v>Electrical Utilities &amp; IPPs</v>
    <v>EQTL3</v>
    <v>Ações</v>
    <v>EQUATORIAL S.A. (BVMF:EQTL3)</v>
    <v>0.83</v>
    <v>2.3822999999999997E-2</v>
    <v>17157700</v>
  </rv>
  <rv s="2">
    <v>4</v>
  </rv>
  <rv s="0">
    <v>https://www.bing.com/financeapi/forcetrigger?t=apnbbh&amp;q=BVMF%3aSBSP3&amp;form=skydnc</v>
    <v>Learn more on Bing</v>
  </rv>
  <rv s="1">
    <v>pt-BR</v>
    <v>apnbbh</v>
    <v>268435456</v>
    <v>1</v>
    <v>Da plataforma Refinitiv</v>
    <v>0</v>
    <v>1</v>
    <v>Companhia de Saneamento Básico do Estado de São Paulo - SABESP (BVMF:SBSP3)</v>
    <v>3</v>
    <v>4</v>
    <v>Finance</v>
    <v>5</v>
    <v>35.32</v>
    <v>23.17</v>
    <v>BVMF</v>
    <v>3524534000</v>
    <v>26.13</v>
    <v>1973</v>
    <v>25.02</v>
    <v>0.92200000000000004</v>
    <v>B3 - Brazil Stock Exchange</v>
    <v>89628899620</v>
    <v>Companhia de Saneamento Basico do Estado de São Paulo - SABESP é uma provedora de serviços de água e esgoto. A Companhia presta serviços de água e esgoto a uma gama de clientes residenciais, comerciais, industriais e governamentais em mais de 375 municípios do estado de São Paulo, incluindo a cidade de São Paulo. Os segmentos da Companhia incluem água e esgoto. As atividades da Companhia compreendem abastecimento de água, serviços de esgoto sanitário, serviços de gestão e drenagem de águas pluviais urbanas, serviços de limpeza urbana, serviços de gestão de resíduos sólidos e atividades afins, incluindo o planejamento, operação, manutenção e comercialização de energia, e a comercialização de serviços, produtos, benefícios e direitos que direta ou indiretamente advêm de seus ativos, operações e atividades.</v>
    <v>BVMF</v>
    <v>25.27</v>
    <v>8914</v>
    <v>46322.660299849216</v>
    <v>6</v>
    <v>25418720</v>
    <v>BRL</v>
    <v>Companhia de Saneamento Básico do Estado de São Paulo - SABESP</v>
    <v>Companhia de Saneamento Básico do Estado de São Paulo - SABESP</v>
    <v>25.61</v>
    <v>25.43</v>
    <v>Rua Costa Carvalho, n 300 Diretoria F, Pinheiros, SAO PAULO, SAO PAULO, 05.429-900 BR</v>
    <v>Water Utilities</v>
    <v>SBSP3</v>
    <v>Ações</v>
    <v>Companhia de Saneamento Básico do Estado de São Paulo - SABESP (BVMF:SBSP3)</v>
    <v>0.16</v>
    <v>6.332E-3</v>
    <v>23445800</v>
  </rv>
  <rv s="2">
    <v>7</v>
  </rv>
  <rv s="0">
    <v>https://www.bing.com/financeapi/forcetrigger?t=apnb8m&amp;q=BVMF%3aSAPR4&amp;form=skydnc</v>
    <v>Learn more on Bing</v>
  </rv>
  <rv s="1">
    <v>pt-BR</v>
    <v>apnb8m</v>
    <v>268435456</v>
    <v>1</v>
    <v>Da plataforma Refinitiv</v>
    <v>0</v>
    <v>1</v>
    <v>Companhia de Saneamento do Paraná - Sanepar (BVMF:SAPR4)</v>
    <v>3</v>
    <v>4</v>
    <v>Finance</v>
    <v>5</v>
    <v>9.23</v>
    <v>6.17</v>
    <v>BVMF</v>
    <v>1511206000</v>
    <v>6.97</v>
    <v>1963</v>
    <v>6.63</v>
    <v>0.67079999999999995</v>
    <v>B3 - Brazil Stock Exchange</v>
    <v>10366873160</v>
    <v>A Companhia de Saneamento do Paraná - Sanepar, anteriormente Companhia de Água e Esgotos do Paraná - Agepar, é uma empresa brasileira que atua na prestação de serviços de saneamento básico. A empresa atua sobretudo na distribuição de água, bem como na coleta e tratamento de esgoto. A empresa também se dedica a estudos, projetos e expansão de redes de distribuição de água, redes de coleta e infraestrutura de tratamento de esgoto. Além disso, a Companhia de Saneamento do Paraná - Sanepar fornece coleta e processamento de resíduos sólidos. Também presta serviços de consultoria e assistência técnica. A empresa colabora com agências e entidades governamentais e municipais. A Companhia de Saneamento do Paraná - Sanepar atua em 346 municípios.</v>
    <v>BVMF</v>
    <v>6.8</v>
    <v>5913</v>
    <v>46322.66028935185</v>
    <v>9</v>
    <v>1440400</v>
    <v>BRL</v>
    <v>Companhia de Saneamento do Paraná - Sanepar</v>
    <v>Companhia de Saneamento do Paraná - Sanepar</v>
    <v>6.95</v>
    <v>6.86</v>
    <v>Rua Engenheiros Reboucas, 1376, Reboucas, CURITIBA, PARANA, 80.215-900 BR</v>
    <v>Water Utilities</v>
    <v>SAPR4</v>
    <v>Ações</v>
    <v>Companhia de Saneamento do Paraná - Sanepar (BVMF:SAPR4)</v>
    <v>0.06</v>
    <v>8.8240000000000002E-3</v>
    <v>2550700</v>
  </rv>
  <rv s="2">
    <v>10</v>
  </rv>
  <rv s="0">
    <v>https://www.bing.com/financeapi/forcetrigger?t=apms4c&amp;q=BVMF%3aITSA3&amp;form=skydnc</v>
    <v>Learn more on Bing</v>
  </rv>
  <rv s="1">
    <v>pt-BR</v>
    <v>apms4c</v>
    <v>268435456</v>
    <v>1</v>
    <v>Da plataforma Refinitiv</v>
    <v>0</v>
    <v>1</v>
    <v>ITAÚSA S.A. (BVMF:ITSA3)</v>
    <v>3</v>
    <v>4</v>
    <v>Finance</v>
    <v>5</v>
    <v>16.600000000000001</v>
    <v>10.08</v>
    <v>BVMF</v>
    <v>11213690000</v>
    <v>14.3</v>
    <v>1966</v>
    <v>13.81</v>
    <v>1.1166</v>
    <v>B3 - Brazil Stock Exchange</v>
    <v>156655249300</v>
    <v>A Itausa SA, anteriormente a Itausa Investimentos, é uma holding de investimentos sediada no Brasil que atua através de suas subsidiárias. As atividades do Grupo estão divididas em dois setores: Financeiro e não financeiro. O setor financeiro inclui o Itau Unibanco, que fornece uma ampla gama de serviços e produtos bancários e não bancários a uma base de clientes diversificada, em três segmentos de negócios: Varejo, Negócios por Atacado e Atividades com o Mercado e Corporação. O setor não financeiro inclui a Aegea, prestadora de serviços de saneamento básico de utilidade pública, bem como a Dexco, que atua em duas áreas de negócio: Madeira e Acabamentos de Construção. A Itausa SA opera em mais de 50 países.</v>
    <v>BVMF</v>
    <v>14.1</v>
    <v>127000</v>
    <v>46322.660256955467</v>
    <v>12</v>
    <v>40810120</v>
    <v>BRL</v>
    <v>ITAÚSA S.A.</v>
    <v>ITAÚSA S.A.</v>
    <v>14.3</v>
    <v>13.97</v>
    <v>Avenida Paulista, 1938, 5 andar, Bela Vista, SAO PAULO, SAO PAULO, 01.310-200 BR</v>
    <v>Banking Services</v>
    <v>ITSA3</v>
    <v>Ações</v>
    <v>ITAÚSA S.A. (BVMF:ITSA3)</v>
    <v>-0.13</v>
    <v>-9.2200000000000008E-3</v>
    <v>329000</v>
  </rv>
  <rv s="2">
    <v>13</v>
  </rv>
  <rv s="0">
    <v>https://www.bing.com/financeapi/forcetrigger?t=bglxzr&amp;q=BVMF%3aXPLG11&amp;form=skydnc</v>
    <v>Learn more on Bing</v>
  </rv>
  <rv s="3">
    <v>pt-BR</v>
    <v>bglxzr</v>
    <v>268435456</v>
    <v>1</v>
    <v>Da plataforma Refinitiv</v>
    <v>6</v>
    <v>7</v>
    <v>XP LOG FDO INV IMOB CF (BVMF:XPLG11)</v>
    <v>8</v>
    <v>9</v>
    <v>Finance</v>
    <v>5</v>
    <v>102.8</v>
    <v>85.94</v>
    <v>BVMF</v>
    <v>94.47</v>
    <v>91.32</v>
    <v>B3 - Brazil Stock Exchange</v>
    <v>93.12</v>
    <v>46322.660254629627</v>
    <v>15</v>
    <v>BRL</v>
    <v>XP LOG FDO INV IMOB CF</v>
    <v>94.36</v>
    <v>91.8</v>
    <v>XPLG11</v>
    <v>Fundos mais negociados</v>
    <v>XP LOG FDO INV IMOB CF (BVMF:XPLG11)</v>
    <v>-1.32</v>
    <v>-1.4175E-2</v>
    <v>70059</v>
  </rv>
  <rv s="2">
    <v>16</v>
  </rv>
  <rv s="0">
    <v>https://www.bing.com/financeapi/forcetrigger?t=apmqh7&amp;q=BVMF%3aHGLG11&amp;form=skydnc</v>
    <v>Learn more on Bing</v>
  </rv>
  <rv s="3">
    <v>pt-BR</v>
    <v>apmqh7</v>
    <v>268435456</v>
    <v>1</v>
    <v>Da plataforma Refinitiv</v>
    <v>6</v>
    <v>7</v>
    <v>PATRIA LOG FDO INV IMOB CF (BVMF:HGLG11)</v>
    <v>8</v>
    <v>9</v>
    <v>Finance</v>
    <v>5</v>
    <v>159.9</v>
    <v>141.13</v>
    <v>BVMF</v>
    <v>152.49</v>
    <v>148.80000000000001</v>
    <v>B3 - Brazil Stock Exchange</v>
    <v>151.69999999999999</v>
    <v>46322.660266365623</v>
    <v>18</v>
    <v>BRL</v>
    <v>PATRIA LOG FDO INV IMOB CF</v>
    <v>151.80000000000001</v>
    <v>149</v>
    <v>HGLG11</v>
    <v>Fundos mais negociados</v>
    <v>PATRIA LOG FDO INV IMOB CF (BVMF:HGLG11)</v>
    <v>-2.7</v>
    <v>-1.7798000000000001E-2</v>
    <v>99777</v>
  </rv>
  <rv s="2">
    <v>19</v>
  </rv>
  <rv s="0">
    <v>https://www.bing.com/financeapi/forcetrigger?t=apmuh7&amp;q=BVMF%3aKNRI11&amp;form=skydnc</v>
    <v>Learn more on Bing</v>
  </rv>
  <rv s="3">
    <v>pt-BR</v>
    <v>apmuh7</v>
    <v>268435456</v>
    <v>1</v>
    <v>Da plataforma Refinitiv</v>
    <v>6</v>
    <v>7</v>
    <v>FDO INV IMOB KINEA RENDA IMOBILIARIA CF (BVMF:KNRI11)</v>
    <v>8</v>
    <v>9</v>
    <v>Finance</v>
    <v>5</v>
    <v>166.33</v>
    <v>133.83000000000001</v>
    <v>BVMF</v>
    <v>156.44999999999999</v>
    <v>151.19999999999999</v>
    <v>B3 - Brazil Stock Exchange</v>
    <v>153.44999999999999</v>
    <v>46322.660277777781</v>
    <v>21</v>
    <v>BRL</v>
    <v>FDO INV IMOB KINEA RENDA IMOBILIARIA CF</v>
    <v>155.38999999999999</v>
    <v>151.44999999999999</v>
    <v>KNRI11</v>
    <v>Fundos mais negociados</v>
    <v>FDO INV IMOB KINEA RENDA IMOBILIARIA CF (BVMF:KNRI11)</v>
    <v>-2</v>
    <v>-1.3033999999999999E-2</v>
    <v>51078</v>
  </rv>
  <rv s="2">
    <v>22</v>
  </rv>
  <rv s="0">
    <v>https://www.bing.com/financeapi/forcetrigger?t=bswvm7&amp;q=BVMF%3aBTLG11&amp;form=skydnc</v>
    <v>Learn more on Bing</v>
  </rv>
  <rv s="3">
    <v>pt-BR</v>
    <v>bswvm7</v>
    <v>268435456</v>
    <v>1</v>
    <v>Da plataforma Refinitiv</v>
    <v>6</v>
    <v>7</v>
    <v>BTG PACTUAL LOGISTICA FDO INV IMOB - FII ETF (BVMF:BTLG11)</v>
    <v>8</v>
    <v>9</v>
    <v>Finance</v>
    <v>5</v>
    <v>105.18</v>
    <v>93.65</v>
    <v>BVMF</v>
    <v>100.39</v>
    <v>98.43</v>
    <v>B3 - Brazil Stock Exchange</v>
    <v>100.15</v>
    <v>46322.660301642965</v>
    <v>24</v>
    <v>BRL</v>
    <v>BTG PACTUAL LOGISTICA FDO INV IMOB - FII ETF</v>
    <v>100.25</v>
    <v>98.61</v>
    <v>BTLG11</v>
    <v>Fundos mais negociados</v>
    <v>BTG PACTUAL LOGISTICA FDO INV IMOB - FII ETF (BVMF:BTLG11)</v>
    <v>-1.54</v>
    <v>-1.5377E-2</v>
    <v>198919</v>
  </rv>
  <rv s="2">
    <v>25</v>
  </rv>
  <rv s="0">
    <v>https://www.bing.com/financeapi/forcetrigger?t=bgly3m&amp;q=BVMF%3aXPML11&amp;form=skydnc</v>
    <v>Learn more on Bing</v>
  </rv>
  <rv s="3">
    <v>pt-BR</v>
    <v>bgly3m</v>
    <v>268435456</v>
    <v>1</v>
    <v>Da plataforma Refinitiv</v>
    <v>6</v>
    <v>7</v>
    <v>XP MALLS FDO INV IMOB FII (BVMF:XPML11)</v>
    <v>8</v>
    <v>9</v>
    <v>Finance</v>
    <v>5</v>
    <v>107.71</v>
    <v>94.24</v>
    <v>BVMF</v>
    <v>101.49</v>
    <v>98.88</v>
    <v>B3 - Brazil Stock Exchange</v>
    <v>100.2</v>
    <v>46322.66028935185</v>
    <v>27</v>
    <v>BRL</v>
    <v>XP MALLS FDO INV IMOB FII</v>
    <v>101.03</v>
    <v>99.33</v>
    <v>XPML11</v>
    <v>Fundos mais negociados</v>
    <v>XP MALLS FDO INV IMOB FII (BVMF:XPML11)</v>
    <v>-0.87</v>
    <v>-8.6829999999999997E-3</v>
    <v>160747</v>
  </rv>
  <rv s="2">
    <v>28</v>
  </rv>
  <rv s="0">
    <v>https://www.bing.com/financeapi/forcetrigger?t=c4w2z2&amp;q=BVMF%3aKNCA11&amp;form=skydnc</v>
    <v>Learn more on Bing</v>
  </rv>
  <rv s="3">
    <v>pt-BR</v>
    <v>c4w2z2</v>
    <v>268435456</v>
    <v>1</v>
    <v>Da plataforma Refinitiv</v>
    <v>6</v>
    <v>7</v>
    <v>KINEA CREDITO AGRO FIAGRO IMOB CEF (BVMF:KNCA11)</v>
    <v>8</v>
    <v>9</v>
    <v>Finance</v>
    <v>5</v>
    <v>98.45</v>
    <v>81.5</v>
    <v>BVMF</v>
    <v>89.79</v>
    <v>86.01</v>
    <v>B3 - Brazil Stock Exchange</v>
    <v>88</v>
    <v>46322.660215740623</v>
    <v>30</v>
    <v>BRL</v>
    <v>KINEA CREDITO AGRO FIAGRO IMOB CEF</v>
    <v>87.88</v>
    <v>86.67</v>
    <v>KNCA11</v>
    <v>Fundos mais negociados</v>
    <v>KINEA CREDITO AGRO FIAGRO IMOB CEF (BVMF:KNCA11)</v>
    <v>-1.33</v>
    <v>-1.5114000000000001E-2</v>
    <v>48862</v>
  </rv>
  <rv s="2">
    <v>31</v>
  </rv>
  <rv s="0">
    <v>https://www.bing.com/financeapi/forcetrigger?t=apn14c&amp;q=BVMF%3aMXRF11&amp;form=skydnc</v>
    <v>Learn more on Bing</v>
  </rv>
  <rv s="3">
    <v>pt-BR</v>
    <v>apn14c</v>
    <v>268435456</v>
    <v>1</v>
    <v>Da plataforma Refinitiv</v>
    <v>6</v>
    <v>7</v>
    <v>MAXI RENDA FII (BVMF:MXRF11)</v>
    <v>8</v>
    <v>9</v>
    <v>Finance</v>
    <v>5</v>
    <v>9.5</v>
    <v>8.48</v>
    <v>BVMF</v>
    <v>9.15</v>
    <v>8.9499999999999993</v>
    <v>B3 - Brazil Stock Exchange</v>
    <v>9.11</v>
    <v>46322.66031180547</v>
    <v>33</v>
    <v>BRL</v>
    <v>MAXI RENDA FII</v>
    <v>9.15</v>
    <v>9.02</v>
    <v>MXRF11</v>
    <v>Fundos mais negociados</v>
    <v>MAXI RENDA FII (BVMF:MXRF11)</v>
    <v>-0.09</v>
    <v>-9.8790000000000006E-3</v>
    <v>3185900</v>
  </rv>
  <rv s="2">
    <v>34</v>
  </rv>
  <rv s="0">
    <v>https://www.bing.com/financeapi/forcetrigger?t=aplz4c&amp;q=BVMF%3aBBSE3&amp;form=skydnc</v>
    <v>Learn more on Bing</v>
  </rv>
  <rv s="1">
    <v>pt-BR</v>
    <v>aplz4c</v>
    <v>268435456</v>
    <v>1</v>
    <v>Da plataforma Refinitiv</v>
    <v>0</v>
    <v>1</v>
    <v>BB Seguridade Participações S.A. (BVMF:BBSE3)</v>
    <v>3</v>
    <v>4</v>
    <v>Finance</v>
    <v>5</v>
    <v>44.34</v>
    <v>28.51</v>
    <v>BVMF</v>
    <v>1941400000</v>
    <v>44.34</v>
    <v>2012</v>
    <v>42.83</v>
    <v>0.38879999999999998</v>
    <v>B3 - Brazil Stock Exchange</v>
    <v>84101448000</v>
    <v>A BB Seguridade Participações S.A. é uma empresa brasileira que atua no setor de seguros. As atividades da empresa se dividem em dois segmentos: Seguros e Corretagem. A divisão Seguros oferece seguros de vida, propriedade e acidentes, veículos, riscos especiais, financeiro e transporte, planos odontológicos, de previdência privada e de capitalização, bem como resseguro. A divisão Corretagem concentra-se na corretagem de seguros, gestão dos planos de previdência e capitalização, bem como na promoção de produtos de seguros e resseguros. Além disso, presta consultoria relacionada à seleção de seguros. As subsidiárias da empresa incluem a BB Seguros Participações S.A. e a BB Cor Participações S.A. A empresa é controlada pelo BANCO DO BRASIL S.A.</v>
    <v>BVMF</v>
    <v>43.14</v>
    <v>268</v>
    <v>46322.660324074073</v>
    <v>36</v>
    <v>7606110</v>
    <v>BRL</v>
    <v>BB Seguridade Participações S.A.</v>
    <v>BB Seguridade Participações S.A.</v>
    <v>43.14</v>
    <v>43.32</v>
    <v>SAUN, Quadra 05, Bloco B, 3 andar Edificio BB, Asa Norte, BRASILIA, 70.040-912 BR</v>
    <v>Insurance</v>
    <v>BBSE3</v>
    <v>Ações</v>
    <v>BB Seguridade Participações S.A. (BVMF:BBSE3)</v>
    <v>0.18</v>
    <v>4.1720000000000004E-3</v>
    <v>5182300</v>
  </rv>
  <rv s="2">
    <v>37</v>
  </rv>
  <rv s="0">
    <v>https://www.bing.com/financeapi/forcetrigger?t=bwrbzr&amp;q=BVMF%3aKNSC11&amp;form=skydnc</v>
    <v>Learn more on Bing</v>
  </rv>
  <rv s="3">
    <v>pt-BR</v>
    <v>bwrbzr</v>
    <v>268435456</v>
    <v>1</v>
    <v>Da plataforma Refinitiv</v>
    <v>6</v>
    <v>7</v>
    <v>KINEA SECURITIES FDO DE INV IMOB CF (BVMF:KNSC11)</v>
    <v>8</v>
    <v>9</v>
    <v>Finance</v>
    <v>5</v>
    <v>9.35</v>
    <v>7.61</v>
    <v>BVMF</v>
    <v>9</v>
    <v>8.82</v>
    <v>B3 - Brazil Stock Exchange</v>
    <v>8.98</v>
    <v>46322.660249339846</v>
    <v>39</v>
    <v>BRL</v>
    <v>KINEA SECURITIES FDO DE INV IMOB CF</v>
    <v>9</v>
    <v>8.85</v>
    <v>KNSC11</v>
    <v>Fundos mais negociados</v>
    <v>KINEA SECURITIES FDO DE INV IMOB CF (BVMF:KNSC11)</v>
    <v>-0.13</v>
    <v>-1.4477E-2</v>
    <v>682847</v>
  </rv>
  <rv s="2">
    <v>40</v>
  </rv>
  <rv s="0">
    <v>https://www.bing.com/financeapi/forcetrigger?t=apmu8m&amp;q=BVMF%3aKNCR11&amp;form=skydnc</v>
    <v>Learn more on Bing</v>
  </rv>
  <rv s="3">
    <v>pt-BR</v>
    <v>apmu8m</v>
    <v>268435456</v>
    <v>1</v>
    <v>Da plataforma Refinitiv</v>
    <v>6</v>
    <v>7</v>
    <v>FDO INV IMOB KINEA RENDIMENTOS ETF (BVMF:KNCR11)</v>
    <v>8</v>
    <v>9</v>
    <v>Finance</v>
    <v>5</v>
    <v>106.49</v>
    <v>92.45</v>
    <v>BVMF</v>
    <v>105.44</v>
    <v>104.63</v>
    <v>B3 - Brazil Stock Exchange</v>
    <v>104.3</v>
    <v>46322.660300925927</v>
    <v>42</v>
    <v>BRL</v>
    <v>FDO INV IMOB KINEA RENDIMENTOS ETF</v>
    <v>104.89</v>
    <v>105.28</v>
    <v>KNCR11</v>
    <v>Fundos mais negociados</v>
    <v>FDO INV IMOB KINEA RENDIMENTOS ETF (BVMF:KNCR11)</v>
    <v>0.98</v>
    <v>9.3959999999999998E-3</v>
    <v>155144</v>
  </rv>
  <rv s="2">
    <v>43</v>
  </rv>
  <rv s="0">
    <v>https://www.bing.com/financeapi/forcetrigger?t=a245oc&amp;q=ARCX%3aTFLO&amp;form=skydnc</v>
    <v>Learn more on Bing</v>
  </rv>
  <rv s="4">
    <v>pt-BR</v>
    <v>a245oc</v>
    <v>268435456</v>
    <v>1</v>
    <v>Da plataforma Refinitiv</v>
    <v>10</v>
    <v>11</v>
    <v>iShares:Tr Fl Rate Bond (ARCX:TFLO)</v>
    <v>8</v>
    <v>12</v>
    <v>Finance</v>
    <v>13</v>
    <v>50.67</v>
    <v>50.39</v>
    <v>ARCX</v>
    <v>50.67</v>
    <v>50.65</v>
    <v>NYSE Arca</v>
    <v>6945307244.75</v>
    <v>50.66</v>
    <v>46322.670612395312</v>
    <v>45</v>
    <v>2132591</v>
    <v>USD</v>
    <v>iShares:Tr Fl Rate Bond</v>
    <v>50.66</v>
    <v>50.662500000000001</v>
    <v>TFLO</v>
    <v>1.5E-3</v>
    <v>Fundos mais negociados</v>
    <v>iShares:Tr Fl Rate Bond (ARCX:TFLO)</v>
    <v>2.5000000000000001E-3</v>
    <v>4.935E-5</v>
    <v>609169</v>
  </rv>
  <rv s="2">
    <v>46</v>
  </rv>
  <rv s="5">
    <v>pt-BR</v>
    <v>avylgh</v>
    <v>268435456</v>
    <v>1</v>
    <v>Da plataforma Refinitiv</v>
    <v>14</v>
    <v>15</v>
    <v>USD/BRL</v>
    <v>16</v>
    <v>17</v>
    <v>Finance</v>
    <v>18</v>
    <v>5.6059999999999999</v>
    <v>4.8848000000000003</v>
    <v>5.4194000000000004</v>
    <v>5.3070000000000004</v>
    <v>USD</v>
    <v>5.4149000000000003</v>
    <v>46322.670729166668</v>
    <v>BRL</v>
    <v>US Dollar/Brazilian Real FX Spot Rate</v>
    <v>5.415</v>
    <v>5.3414000000000001</v>
    <v>USDBRL</v>
    <v>Par de Moedas</v>
    <v>USD/BRL</v>
    <v>-7.3499999999999996E-2</v>
    <v>-1.3573999999999999E-2</v>
  </rv>
  <rv s="2">
    <v>48</v>
  </rv>
  <rv s="0">
    <v>https://www.bing.com/financeapi/forcetrigger?t=bxcqxm&amp;q=BVMF%3aGALG11&amp;form=skydnc</v>
    <v>Learn more on Bing</v>
  </rv>
  <rv s="6">
    <v>pt-BR</v>
    <v>bxcqxm</v>
    <v>268435456</v>
    <v>1</v>
    <v>Da plataforma Refinitiv</v>
    <v>19</v>
    <v>20</v>
    <v>GUARDIAN LOGISTICA FII CF (BVMF:GARE11)</v>
    <v>8</v>
    <v>21</v>
    <v>Finance</v>
    <v>5</v>
    <v>BVMF</v>
    <v>8.35</v>
    <v>8.32</v>
    <v>B3 - Brazil Stock Exchange</v>
    <v>8.74</v>
    <v>46321.874887164064</v>
    <v>50</v>
    <v>BRL</v>
    <v>GUARDIAN LOGISTICA FII CF</v>
    <v>8.35</v>
    <v>8.35</v>
    <v>GARE11</v>
    <v>Fundos mais negociados</v>
    <v>GUARDIAN LOGISTICA FII CF (BVMF:GARE11)</v>
    <v>-0.39</v>
    <v>-4.4622000000000002E-2</v>
    <v>2715569</v>
  </rv>
  <rv s="2">
    <v>51</v>
  </rv>
  <rv s="0">
    <v>https://www.bing.com/financeapi/forcetrigger?t=a1vwrw&amp;q=ARCX%3aIVV&amp;form=skydnc</v>
    <v>Learn more on Bing</v>
  </rv>
  <rv s="7">
    <v>pt-BR</v>
    <v>a1vwrw</v>
    <v>268435456</v>
    <v>1</v>
    <v>Da plataforma Refinitiv</v>
    <v>22</v>
    <v>23</v>
    <v>iShares:Core S&amp;P 500 (ARCX:IVV)</v>
    <v>8</v>
    <v>24</v>
    <v>Finance</v>
    <v>13</v>
    <v>785.03</v>
    <v>632.14</v>
    <v>ARCX</v>
    <v>774.46500000000003</v>
    <v>768.65</v>
    <v>1</v>
    <v>NYSE Arca</v>
    <v>881268883563.93005</v>
    <v>768.69</v>
    <v>46322.670728760939</v>
    <v>53</v>
    <v>5794906</v>
    <v>USD</v>
    <v>iShares:Core S&amp;P 500</v>
    <v>770.74</v>
    <v>774.07</v>
    <v>IVV</v>
    <v>2.9999999999999997E-4</v>
    <v>Fundos mais negociados</v>
    <v>iShares:Core S&amp;P 500 (ARCX:IVV)</v>
    <v>5.38</v>
    <v>6.999E-3</v>
    <v>998073</v>
  </rv>
  <rv s="2">
    <v>54</v>
  </rv>
</rvData>
</file>

<file path=xl/richData/rdrichvaluestructure.xml><?xml version="1.0" encoding="utf-8"?>
<rvStructures xmlns="http://schemas.microsoft.com/office/spreadsheetml/2017/richdata" count="8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ções em circulação"/>
    <k n="Alto"/>
    <k n="Ano de incorporação"/>
    <k n="Baixo"/>
    <k n="Beta"/>
    <k n="Bolsa" t="s"/>
    <k n="Capitalização de mercado"/>
    <k n="Descrição" t="s"/>
    <k n="ExchangeID" t="s"/>
    <k n="Fechamento anterior"/>
    <k n="Funcionários"/>
    <k n="Hora da última transação"/>
    <k n="LearnMoreOnLink" t="r"/>
    <k n="Média de volume"/>
    <k n="Moeda" t="s"/>
    <k n="Nome" t="s"/>
    <k n="Nome oficial" t="s"/>
    <k n="Pendência"/>
    <k n="Preço"/>
    <k n="Sede" t="s"/>
    <k n="Setor" t="s"/>
    <k n="Símbolo do ticker" t="s"/>
    <k n="Tipo de instrumento" t="s"/>
    <k n="UniqueName" t="s"/>
    <k n="Variação"/>
    <k n="Variação (%)"/>
    <k n="Volume"/>
  </s>
  <s t="_linkedentity">
    <k n="%cvi" t="r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Fechamento anterior"/>
    <k n="Hora da última transação"/>
    <k n="LearnMoreOnLink" t="r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Capitalização de mercado"/>
    <k n="Fechamento anterior"/>
    <k n="Hora da última transação"/>
    <k n="LearnMoreOnLink" t="r"/>
    <k n="Média de volume"/>
    <k n="Moeda" t="s"/>
    <k n="Nome" t="s"/>
    <k n="Pendência"/>
    <k n="Preço"/>
    <k n="Símbolo do ticker" t="s"/>
    <k n="Taxa de despesa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lto"/>
    <k n="Baixo"/>
    <k n="Da moed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Abreviatura do câmbio" t="s"/>
    <k n="Alto"/>
    <k n="Baixo"/>
    <k n="Bolsa" t="s"/>
    <k n="Fechamento anterior"/>
    <k n="Hora da última transação"/>
    <k n="LearnMoreOnLink" t="r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eta"/>
    <k n="Bolsa" t="s"/>
    <k n="Capitalização de mercado"/>
    <k n="Fechamento anterior"/>
    <k n="Hora da última transação"/>
    <k n="LearnMoreOnLink" t="r"/>
    <k n="Média de volume"/>
    <k n="Moeda" t="s"/>
    <k n="Nome" t="s"/>
    <k n="Pendência"/>
    <k n="Preço"/>
    <k n="Símbolo do ticker" t="s"/>
    <k n="Taxa de despesas"/>
    <k n="Tipo de instrumento" t="s"/>
    <k n="UniqueName" t="s"/>
    <k n="Variação"/>
    <k n="Variação (%)"/>
    <k n="Volume"/>
  </s>
</rvStructures>
</file>

<file path=xl/richData/rdsupportingpropertybag.xml><?xml version="1.0" encoding="utf-8"?>
<supportingPropertyBags xmlns="http://schemas.microsoft.com/office/spreadsheetml/2017/richdata2">
  <spbArrays count="6">
    <a count="42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Nome oficial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Média de volume</v>
      <v t="s">Capitalização de mercado</v>
      <v t="s">Beta</v>
      <v t="s">Ações em circulação</v>
      <v t="s">Descrição</v>
      <v t="s">Funcionários</v>
      <v t="s">Sede</v>
      <v t="s">Setor</v>
      <v t="s">Tipo de instrumento</v>
      <v t="s">Ano de incorporação</v>
      <v t="s">_Flags</v>
      <v t="s">UniqueName</v>
      <v t="s">_DisplayString</v>
      <v t="s">LearnMoreOnLink</v>
      <v t="s">ExchangeID</v>
      <v t="s">%ProviderInfo</v>
    </a>
    <a count="31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Tipo de instrumento</v>
      <v t="s">_Flags</v>
      <v t="s">UniqueName</v>
      <v t="s">_DisplayString</v>
      <v t="s">LearnMoreOnLink</v>
      <v t="s">%ProviderInfo</v>
    </a>
    <a count="34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Taxa de despesas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Média de volume</v>
      <v t="s">Capitalização de mercado</v>
      <v t="s">Tipo de instrumento</v>
      <v t="s">_Flags</v>
      <v t="s">UniqueName</v>
      <v t="s">_DisplayString</v>
      <v t="s">LearnMoreOnLink</v>
      <v t="s">%ProviderInfo</v>
    </a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Preço</v>
      <v t="s">_SubLabel</v>
      <v t="s">Hora da última transação</v>
      <v t="s">Símbolo do ticker</v>
      <v t="s">Variação</v>
      <v t="s">Variação (%)</v>
      <v t="s">Moeda</v>
      <v t="s">Da moeda</v>
      <v t="s">Fechamento anterior</v>
      <v t="s">Pendência</v>
      <v t="s">Alto</v>
      <v t="s">Baixo</v>
      <v t="s">52 semanas de alta</v>
      <v t="s">52 semanas de baixa</v>
      <v t="s">Tipo de instrumento</v>
      <v t="s">_Flags</v>
      <v t="s">UniqueName</v>
      <v t="s">_DisplayString</v>
      <v t="s">%ProviderInfo</v>
    </a>
    <a count="29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Volume</v>
      <v t="s">Tipo de instrumento</v>
      <v t="s">_Flags</v>
      <v t="s">UniqueName</v>
      <v t="s">_DisplayString</v>
      <v t="s">LearnMoreOnLink</v>
      <v t="s">%ProviderInfo</v>
    </a>
    <a count="35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Taxa de despesas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Média de volume</v>
      <v t="s">Capitalização de mercado</v>
      <v t="s">Beta</v>
      <v t="s">Tipo de instrumento</v>
      <v t="s">_Flags</v>
      <v t="s">UniqueName</v>
      <v t="s">_DisplayString</v>
      <v t="s">LearnMoreOnLink</v>
      <v t="s">%ProviderInfo</v>
    </a>
  </spbArrays>
  <spbData count="25">
    <spb s="0">
      <v>High</v>
      <v>Beta</v>
      <v>Name</v>
      <v>Headquarters</v>
      <v>Low</v>
      <v>Exchange</v>
      <v>Currency</v>
      <v>Price</v>
      <v>Industry</v>
      <v>Volume</v>
      <v>Change</v>
      <v>Description</v>
      <v>Open</v>
      <v>ExchangeID</v>
      <v>UniqueName</v>
      <v>Employees</v>
      <v>Official name</v>
      <v>Change (%)</v>
      <v>%ProviderInfo</v>
      <v>LearnMoreOnLink</v>
      <v>Volume average</v>
      <v>Ticker symbol</v>
      <v>52 week high</v>
      <v>52 week low</v>
      <v>Year incorporated</v>
      <v>Shares outstanding</v>
      <v>Previous close</v>
      <v>Instrument type</v>
      <v>Exchange abbreviation</v>
      <v>Market cap</v>
      <v>Last trade time</v>
    </spb>
    <spb s="1">
      <v>0</v>
      <v>Name</v>
      <v>LearnMoreOnLink</v>
    </spb>
    <spb s="2">
      <v>0</v>
      <v>0</v>
      <v>0</v>
    </spb>
    <spb s="3">
      <v>2</v>
      <v>2</v>
      <v>2</v>
      <v>2</v>
    </spb>
    <spb s="4">
      <v>1</v>
      <v>2</v>
      <v>3</v>
      <v>1</v>
      <v>1</v>
      <v>4</v>
      <v>1</v>
      <v>1</v>
      <v>4</v>
      <v>5</v>
      <v>4</v>
      <v>6</v>
      <v>1</v>
      <v>1</v>
      <v>7</v>
      <v>4</v>
      <v>1</v>
      <v>8</v>
      <v>9</v>
    </spb>
    <spb s="5">
      <v>Atraso de 30 minutos</v>
      <v xml:space="preserve">do fechamento anterior </v>
      <v xml:space="preserve">do fechamento anterior </v>
      <v>GMT</v>
    </spb>
    <spb s="6">
      <v>High</v>
      <v>Name</v>
      <v>Low</v>
      <v>Exchange</v>
      <v>Currency</v>
      <v>Price</v>
      <v>Volume</v>
      <v>Change</v>
      <v>Open</v>
      <v>UniqueName</v>
      <v>Change (%)</v>
      <v>%ProviderInfo</v>
      <v>LearnMoreOnLink</v>
      <v>Ticker symbol</v>
      <v>52 week high</v>
      <v>52 week low</v>
      <v>Previous close</v>
      <v>Instrument type</v>
      <v>Exchange abbreviation</v>
      <v>Last trade time</v>
    </spb>
    <spb s="1">
      <v>1</v>
      <v>Name</v>
      <v>LearnMoreOnLink</v>
    </spb>
    <spb s="7">
      <v>2</v>
      <v>2</v>
      <v>2</v>
    </spb>
    <spb s="8">
      <v>1</v>
      <v>3</v>
      <v>1</v>
      <v>1</v>
      <v>4</v>
      <v>1</v>
      <v>1</v>
      <v>5</v>
      <v>6</v>
      <v>1</v>
      <v>1</v>
      <v>1</v>
      <v>9</v>
    </spb>
    <spb s="9">
      <v>High</v>
      <v>Name</v>
      <v>Low</v>
      <v>Exchange</v>
      <v>Currency</v>
      <v>Price</v>
      <v>Volume</v>
      <v>Change</v>
      <v>Open</v>
      <v>UniqueName</v>
      <v>Change (%)</v>
      <v>%ProviderInfo</v>
      <v>LearnMoreOnLink</v>
      <v>Volume average</v>
      <v>Expense ratio</v>
      <v>Ticker symbol</v>
      <v>52 week high</v>
      <v>52 week low</v>
      <v>Previous close</v>
      <v>Instrument type</v>
      <v>Exchange abbreviation</v>
      <v>Market cap</v>
      <v>Last trade time</v>
    </spb>
    <spb s="1">
      <v>2</v>
      <v>Name</v>
      <v>LearnMoreOnLink</v>
    </spb>
    <spb s="10">
      <v>10</v>
      <v>3</v>
      <v>10</v>
      <v>10</v>
      <v>4</v>
      <v>10</v>
      <v>10</v>
      <v>5</v>
      <v>4</v>
      <v>5</v>
      <v>6</v>
      <v>10</v>
      <v>10</v>
      <v>10</v>
      <v>11</v>
      <v>9</v>
    </spb>
    <spb s="11">
      <v>Origem : Nasdaq Última venda</v>
      <v>Tempo Real Nasdaq Última venda</v>
      <v xml:space="preserve">do fechamento anterior </v>
      <v xml:space="preserve">do fechamento anterior </v>
      <v>GMT</v>
    </spb>
    <spb s="12">
      <v>High</v>
      <v>Name</v>
      <v>Low</v>
      <v>Currency</v>
      <v>Price</v>
      <v>From currency</v>
      <v>Change</v>
      <v>Open</v>
      <v>UniqueName</v>
      <v>Change (%)</v>
      <v>%ProviderInfo</v>
      <v>Ticker symbol</v>
      <v>52 week high</v>
      <v>52 week low</v>
      <v>Previous close</v>
      <v>Instrument type</v>
      <v>Last trade time</v>
    </spb>
    <spb s="13">
      <v>3</v>
      <v>Name</v>
    </spb>
    <spb s="14">
      <v>2</v>
      <v>2</v>
    </spb>
    <spb s="15">
      <v>1</v>
      <v>3</v>
      <v>1</v>
      <v>1</v>
      <v>1</v>
      <v>1</v>
      <v>5</v>
      <v>6</v>
      <v>1</v>
      <v>1</v>
      <v>1</v>
      <v>9</v>
    </spb>
    <spb s="16">
      <v>GMT</v>
    </spb>
    <spb s="17">
      <v>High</v>
      <v>Name</v>
      <v>Low</v>
      <v>Exchange</v>
      <v>Currency</v>
      <v>Price</v>
      <v>Volume</v>
      <v>Change</v>
      <v>Open</v>
      <v>UniqueName</v>
      <v>Change (%)</v>
      <v>%ProviderInfo</v>
      <v>LearnMoreOnLink</v>
      <v>Ticker symbol</v>
      <v>Previous close</v>
      <v>Instrument type</v>
      <v>Exchange abbreviation</v>
      <v>Last trade time</v>
    </spb>
    <spb s="1">
      <v>4</v>
      <v>Name</v>
      <v>LearnMoreOnLink</v>
    </spb>
    <spb s="18">
      <v>1</v>
      <v>3</v>
      <v>1</v>
      <v>1</v>
      <v>4</v>
      <v>1</v>
      <v>1</v>
      <v>5</v>
      <v>6</v>
      <v>1</v>
      <v>9</v>
    </spb>
    <spb s="19">
      <v>High</v>
      <v>Beta</v>
      <v>Name</v>
      <v>Low</v>
      <v>Exchange</v>
      <v>Currency</v>
      <v>Price</v>
      <v>Volume</v>
      <v>Change</v>
      <v>Open</v>
      <v>UniqueName</v>
      <v>Change (%)</v>
      <v>%ProviderInfo</v>
      <v>LearnMoreOnLink</v>
      <v>Volume average</v>
      <v>Expense ratio</v>
      <v>Ticker symbol</v>
      <v>52 week high</v>
      <v>52 week low</v>
      <v>Previous close</v>
      <v>Instrument type</v>
      <v>Exchange abbreviation</v>
      <v>Market cap</v>
      <v>Last trade time</v>
    </spb>
    <spb s="1">
      <v>5</v>
      <v>Name</v>
      <v>LearnMoreOnLink</v>
    </spb>
    <spb s="20">
      <v>10</v>
      <v>2</v>
      <v>3</v>
      <v>10</v>
      <v>10</v>
      <v>4</v>
      <v>10</v>
      <v>10</v>
      <v>5</v>
      <v>4</v>
      <v>5</v>
      <v>6</v>
      <v>10</v>
      <v>10</v>
      <v>10</v>
      <v>11</v>
      <v>9</v>
    </spb>
  </spbData>
</supportingPropertyBags>
</file>

<file path=xl/richData/rdsupportingpropertybagstructure.xml><?xml version="1.0" encoding="utf-8"?>
<spbStructures xmlns="http://schemas.microsoft.com/office/spreadsheetml/2017/richdata2" count="21">
  <s>
    <k n="Alto" t="s"/>
    <k n="Beta" t="s"/>
    <k n="Nome" t="s"/>
    <k n="Sede" t="s"/>
    <k n="Baixo" t="s"/>
    <k n="Bolsa" t="s"/>
    <k n="Moeda" t="s"/>
    <k n="Preço" t="s"/>
    <k n="Setor" t="s"/>
    <k n="Volume" t="s"/>
    <k n="Variação" t="s"/>
    <k n="Descrição" t="s"/>
    <k n="Pendência" t="s"/>
    <k n="ExchangeID" t="s"/>
    <k n="UniqueName" t="s"/>
    <k n="Funcionários" t="s"/>
    <k n="Nome oficial" t="s"/>
    <k n="Variação (%)" t="s"/>
    <k n="%ProviderInfo" t="s"/>
    <k n="LearnMoreOnLink" t="s"/>
    <k n="Média de volume" t="s"/>
    <k n="Símbolo do ticker" t="s"/>
    <k n="52 semanas de alta" t="s"/>
    <k n="52 semanas de baixa" t="s"/>
    <k n="Ano de incorporação" t="s"/>
    <k n="Ações em circulação" t="s"/>
    <k n="Fechamento anterior" t="s"/>
    <k n="Tipo de instrumento" t="s"/>
    <k n="Abreviatura do câmbio" t="s"/>
    <k n="Capitalização de mercado" t="s"/>
    <k n="Hora da última transação" t="s"/>
  </s>
  <s>
    <k n="^Order" t="spba"/>
    <k n="TitleProperty" t="s"/>
    <k n="SubTitleProperty" t="s"/>
  </s>
  <s>
    <k n="ShowInCardView" t="b"/>
    <k n="ShowInDotNotation" t="b"/>
    <k n="ShowInAutoComplete" t="b"/>
  </s>
  <s>
    <k n="ExchangeID" t="spb"/>
    <k n="UniqueName" t="spb"/>
    <k n="`%ProviderInfo" t="spb"/>
    <k n="LearnMoreOnLink" t="spb"/>
  </s>
  <s>
    <k n="Alto" t="i"/>
    <k n="Beta" t="i"/>
    <k n="Nome" t="i"/>
    <k n="Baixo" t="i"/>
    <k n="Preço" t="i"/>
    <k n="Volume" t="i"/>
    <k n="Variação" t="i"/>
    <k n="Pendência" t="i"/>
    <k n="Funcionários" t="i"/>
    <k n="Variação (%)" t="i"/>
    <k n="Média de volume" t="i"/>
    <k n="`%EntityServiceId" t="i"/>
    <k n="52 semanas de alta" t="i"/>
    <k n="52 semanas de baixa" t="i"/>
    <k n="Ano de incorporação" t="i"/>
    <k n="Ações em circulação" t="i"/>
    <k n="Fechamento anterior" t="i"/>
    <k n="Capitalização de mercado" t="i"/>
    <k n="Hora da última transação" t="i"/>
  </s>
  <s>
    <k n="Preço" t="s"/>
    <k n="Variação" t="s"/>
    <k n="Variação (%)" t="s"/>
    <k n="Hora da última transação" t="s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Símbolo do ticker" t="s"/>
    <k n="52 semanas de alta" t="s"/>
    <k n="52 semanas de baixa" t="s"/>
    <k n="Fechamento anterior" t="s"/>
    <k n="Tipo de instrumento" t="s"/>
    <k n="Abreviatura do câmbio" t="s"/>
    <k n="Hora da última transação" t="s"/>
  </s>
  <s>
    <k n="UniqueName" t="spb"/>
    <k n="`%ProviderInfo" t="spb"/>
    <k n="LearnMoreOnLink" t="spb"/>
  </s>
  <s>
    <k n="Alto" t="i"/>
    <k n="Nome" t="i"/>
    <k n="Baixo" t="i"/>
    <k n="Preço" t="i"/>
    <k n="Volume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Média de volume" t="s"/>
    <k n="Taxa de despesas" t="s"/>
    <k n="Símbolo do ticker" t="s"/>
    <k n="52 semanas de alta" t="s"/>
    <k n="52 semanas de baixa" t="s"/>
    <k n="Fechamento anterior" t="s"/>
    <k n="Tipo de instrumento" t="s"/>
    <k n="Abreviatura do câmbio" t="s"/>
    <k n="Capitalização de mercado" t="s"/>
    <k n="Hora da última transação" t="s"/>
  </s>
  <s>
    <k n="Alto" t="i"/>
    <k n="Nome" t="i"/>
    <k n="Baixo" t="i"/>
    <k n="Preço" t="i"/>
    <k n="Volume" t="i"/>
    <k n="Variação" t="i"/>
    <k n="Pendência" t="i"/>
    <k n="Variação (%)" t="i"/>
    <k n="Média de volume" t="i"/>
    <k n="Taxa de despesas" t="i"/>
    <k n="`%EntityServiceId" t="i"/>
    <k n="52 semanas de alta" t="i"/>
    <k n="52 semanas de baixa" t="i"/>
    <k n="Fechamento anterior" t="i"/>
    <k n="Capitalização de mercado" t="i"/>
    <k n="Hora da última transação" t="i"/>
  </s>
  <s>
    <k n="Bolsa" t="s"/>
    <k n="Preço" t="s"/>
    <k n="Variação" t="s"/>
    <k n="Variação (%)" t="s"/>
    <k n="Hora da última transação" t="s"/>
  </s>
  <s>
    <k n="Alto" t="s"/>
    <k n="Nome" t="s"/>
    <k n="Baixo" t="s"/>
    <k n="Moeda" t="s"/>
    <k n="Preço" t="s"/>
    <k n="Da moeda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Hora da última transação" t="s"/>
  </s>
  <s>
    <k n="^Order" t="spba"/>
    <k n="TitleProperty" t="s"/>
  </s>
  <s>
    <k n="UniqueName" t="spb"/>
    <k n="`%ProviderInfo" t="spb"/>
  </s>
  <s>
    <k n="Alto" t="i"/>
    <k n="Nome" t="i"/>
    <k n="Baixo" t="i"/>
    <k n="Preço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Hora da última transação" t="s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Símbolo do ticker" t="s"/>
    <k n="Fechamento anterior" t="s"/>
    <k n="Tipo de instrumento" t="s"/>
    <k n="Abreviatura do câmbio" t="s"/>
    <k n="Hora da última transação" t="s"/>
  </s>
  <s>
    <k n="Alto" t="i"/>
    <k n="Nome" t="i"/>
    <k n="Baixo" t="i"/>
    <k n="Preço" t="i"/>
    <k n="Volume" t="i"/>
    <k n="Variação" t="i"/>
    <k n="Pendência" t="i"/>
    <k n="Variação (%)" t="i"/>
    <k n="`%EntityServiceId" t="i"/>
    <k n="Fechamento anterior" t="i"/>
    <k n="Hora da última transação" t="i"/>
  </s>
  <s>
    <k n="Alto" t="s"/>
    <k n="Beta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Média de volume" t="s"/>
    <k n="Taxa de despesas" t="s"/>
    <k n="Símbolo do ticker" t="s"/>
    <k n="52 semanas de alta" t="s"/>
    <k n="52 semanas de baixa" t="s"/>
    <k n="Fechamento anterior" t="s"/>
    <k n="Tipo de instrumento" t="s"/>
    <k n="Abreviatura do câmbio" t="s"/>
    <k n="Capitalização de mercado" t="s"/>
    <k n="Hora da última transação" t="s"/>
  </s>
  <s>
    <k n="Alto" t="i"/>
    <k n="Beta" t="i"/>
    <k n="Nome" t="i"/>
    <k n="Baixo" t="i"/>
    <k n="Preço" t="i"/>
    <k n="Volume" t="i"/>
    <k n="Variação" t="i"/>
    <k n="Pendência" t="i"/>
    <k n="Variação (%)" t="i"/>
    <k n="Média de volume" t="i"/>
    <k n="Taxa de despesas" t="i"/>
    <k n="`%EntityServiceId" t="i"/>
    <k n="52 semanas de alta" t="i"/>
    <k n="52 semanas de baixa" t="i"/>
    <k n="Fechamento anterior" t="i"/>
    <k n="Capitalização de mercado" t="i"/>
    <k n="Hora da última transação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7">
    <x:dxf>
      <x:numFmt numFmtId="0" formatCode="General"/>
    </x:dxf>
    <x:dxf>
      <x:numFmt numFmtId="3" formatCode="#,##0"/>
    </x:dxf>
    <x:dxf>
      <x:numFmt numFmtId="14" formatCode="0.00%"/>
    </x:dxf>
    <x:dxf>
      <x:numFmt numFmtId="2" formatCode="0.00"/>
    </x:dxf>
    <x:dxf>
      <x:numFmt numFmtId="27" formatCode="dd/mm/yyyy\ hh:mm"/>
    </x:dxf>
    <x:dxf>
      <x:numFmt numFmtId="4" formatCode="#,##0.00"/>
    </x:dxf>
    <x:dxf>
      <x:numFmt numFmtId="1" formatCode="0"/>
    </x:dxf>
  </dxfs>
  <richProperties>
    <rPr n="NumberFormat" t="s"/>
    <rPr n="IsTitleField" t="b"/>
  </richProperties>
  <richStyles>
    <rSty dxfid="0">
      <rpv i="0">_-[$R$-pt-BR] * #,##0.00_-;-[$R$-pt-BR] * #,##0.00_-;_-[$R$-pt-BR] * "-"??_-;_-@_-</rpv>
    </rSty>
    <rSty dxfid="5">
      <rpv i="0">#,##0.00</rpv>
    </rSty>
    <rSty>
      <rpv i="1">1</rpv>
    </rSty>
    <rSty dxfid="1">
      <rpv i="0">#,##0</rpv>
    </rSty>
    <rSty dxfid="2"/>
    <rSty dxfid="3">
      <rpv i="0">0.00</rpv>
    </rSty>
    <rSty dxfid="6">
      <rpv i="0">0</rpv>
    </rSty>
    <rSty dxfid="0">
      <rpv i="0">_-[$R$-pt-BR] * #,##0_-;-[$R$-pt-BR] * #,##0_-;_-[$R$-pt-BR] * "-"_-;_-@_-</rpv>
    </rSty>
    <rSty dxfid="4"/>
    <rSty dxfid="0">
      <rpv i="0">_([$$-en-US]* #,##0.00_);_([$$-en-US]* (#,##0.00);_([$$-en-US]* "-"??_);_(@_)</rpv>
    </rSty>
    <rSty dxfid="0">
      <rpv i="0">_([$$-en-US]* #,##0_);_([$$-en-US]* (#,##0);_([$$-en-US]* "-"_);_(@_)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2FB842-0533-484D-BF4C-5763FA25EA6B}" name="tb_acoes" displayName="tb_acoes" ref="A1:M19" totalsRowShown="0">
  <autoFilter ref="A1:M19" xr:uid="{22400C29-DA52-44C3-912D-54C5CFB6219A}"/>
  <sortState xmlns:xlrd2="http://schemas.microsoft.com/office/spreadsheetml/2017/richdata2" ref="A2:M19">
    <sortCondition ref="H1:H19"/>
  </sortState>
  <tableColumns count="13">
    <tableColumn id="1" xr3:uid="{651B526B-69FD-4E96-87A3-88B228E67B9F}" name="Ações"/>
    <tableColumn id="2" xr3:uid="{42071814-D4DE-4B23-9CDE-C1CF3E334DCD}" name="Abreviatura do câmbio">
      <calculatedColumnFormula array="1">_FV(A2,"Abreviatura do câmbio",TRUE)</calculatedColumnFormula>
    </tableColumn>
    <tableColumn id="3" xr3:uid="{3798D9A5-0E87-4282-B705-B89250F91978}" name="Preço" dataDxfId="51">
      <calculatedColumnFormula array="1">_FV(A2,"Preço")</calculatedColumnFormula>
    </tableColumn>
    <tableColumn id="4" xr3:uid="{FD8C0B50-FD3C-47CF-8584-2D5CA9B62CB6}" name="Bolsa">
      <calculatedColumnFormula array="1">_FV(A2,"Bolsa")</calculatedColumnFormula>
    </tableColumn>
    <tableColumn id="5" xr3:uid="{EAB37518-9780-45A6-8357-2E2E7D43EF8A}" name="Símbolo do ticker">
      <calculatedColumnFormula array="1">_FV(A2,"Símbolo do ticker",TRUE)</calculatedColumnFormula>
    </tableColumn>
    <tableColumn id="6" xr3:uid="{64568FE8-33A8-40F0-BEE9-DC9D665BBCD5}" name="Hora da última transação" dataDxfId="50">
      <calculatedColumnFormula array="1">_FV(A2,"Hora da última transação",TRUE)</calculatedColumnFormula>
    </tableColumn>
    <tableColumn id="7" xr3:uid="{D8A3ABA6-673E-4528-B57F-13A85E8222E4}" name="Variação" dataDxfId="49">
      <calculatedColumnFormula array="1">_FV(A2,"Variação")</calculatedColumnFormula>
    </tableColumn>
    <tableColumn id="8" xr3:uid="{CC8D86A7-63DC-4F63-8D70-BFC3FA2C70A9}" name="Variação (%)" dataDxfId="48">
      <calculatedColumnFormula array="1">_FV(A2,"Variação (%)",TRUE)</calculatedColumnFormula>
    </tableColumn>
    <tableColumn id="9" xr3:uid="{373D1E18-5542-4AB4-922B-4C6DB4E561FD}" name="Moeda">
      <calculatedColumnFormula array="1">_FV(tb_acoes[[#This Row],[Ações]],"Moeda")</calculatedColumnFormula>
    </tableColumn>
    <tableColumn id="11" xr3:uid="{A3DDC32A-396D-4CF6-83BB-1C6B01AE04CB}" name="Conversão MOEDA"/>
    <tableColumn id="12" xr3:uid="{BBCACC92-2C4E-4CD3-BB27-0F72A67DA39C}" name="Preço Dolar" dataDxfId="47">
      <calculatedColumnFormula array="1">IFERROR(_FV(J2,"Preço"),"")</calculatedColumnFormula>
    </tableColumn>
    <tableColumn id="13" xr3:uid="{741FC695-ACCA-4B5C-AE91-421011F84703}" name="Da moeda" dataDxfId="46">
      <calculatedColumnFormula array="1">IFERROR(_FV(J2,"Da moeda",TRUE),"")</calculatedColumnFormula>
    </tableColumn>
    <tableColumn id="14" xr3:uid="{D118C868-1B02-432B-BD1B-21781255C32D}" name="Moeda2" dataDxfId="45">
      <calculatedColumnFormula array="1">IFERROR(_FV(J2,"Moeda"),"")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AE2B70-A3D8-429A-9DEE-378A70E1EADB}" name="tb_investimentos" displayName="tb_investimentos" ref="B4:U443" totalsRowShown="0" headerRowDxfId="24">
  <autoFilter ref="B4:U443" xr:uid="{0EAE2B70-A3D8-429A-9DEE-378A70E1EADB}">
    <filterColumn colId="2">
      <filters>
        <filter val="KNCA11"/>
      </filters>
    </filterColumn>
  </autoFilter>
  <sortState xmlns:xlrd2="http://schemas.microsoft.com/office/spreadsheetml/2017/richdata2" ref="B5:U423">
    <sortCondition ref="C4:C423"/>
  </sortState>
  <tableColumns count="20">
    <tableColumn id="13" xr3:uid="{4C396268-B3C8-48C2-8C2A-2D4FABF8F756}" name="TIPO MOVIMENTAÇÃO" dataDxfId="23"/>
    <tableColumn id="1" xr3:uid="{1F69D75B-FDA9-4ED9-8982-20275AF11F83}" name="DATA" dataDxfId="22"/>
    <tableColumn id="2" xr3:uid="{B19E0991-2064-4180-9EBD-76C05B2B391D}" name="DESCRIÇÃO" dataDxfId="21"/>
    <tableColumn id="3" xr3:uid="{7A732432-72DD-4A34-AD82-8E92F616358D}" name="MOEDA" dataDxfId="20">
      <calculatedColumnFormula>IF(tb_investimentos[[#This Row],[TIPO MOVIMENTAÇÃO]]="Aporte",_xlfn.XLOOKUP(tb_investimentos[[#This Row],[DESCRIÇÃO]],'INFO AÇÕES'!E:E,'INFO AÇÕES'!I:I),"BRL")</calculatedColumnFormula>
    </tableColumn>
    <tableColumn id="4" xr3:uid="{56805E04-9FC8-4B78-A47E-AF6EDC77E51B}" name="ATIVO" dataDxfId="19"/>
    <tableColumn id="5" xr3:uid="{BD94CAFE-13CD-4F74-AAE6-DB279F574352}" name="QUANTIDADE" dataDxfId="18"/>
    <tableColumn id="6" xr3:uid="{815FC889-FE90-4F69-BAB5-0DAF89917049}" name="PREÇO" dataDxfId="17"/>
    <tableColumn id="7" xr3:uid="{C91007C3-BE2E-4E8E-B19D-3542C76AECF2}" name="CORRETORA/BANCO" dataDxfId="16"/>
    <tableColumn id="8" xr3:uid="{025C4BA2-5CD9-4E0D-B911-A2E73F6C3AC4}" name="VALOR _x000a_TOTAL" dataDxfId="15" dataCellStyle="Moeda">
      <calculatedColumnFormula>H5*G5</calculatedColumnFormula>
    </tableColumn>
    <tableColumn id="9" xr3:uid="{99DD1D99-F0D6-4D27-BB9B-087A34E6771D}" name="FEITO?" dataDxfId="14"/>
    <tableColumn id="10" xr3:uid="{47929A3A-643C-424B-B32E-9E1222D2051A}" name="Mês" dataDxfId="13">
      <calculatedColumnFormula>MONTH(tb_investimentos[[#This Row],[DATA]])</calculatedColumnFormula>
    </tableColumn>
    <tableColumn id="11" xr3:uid="{71449844-4E36-4538-8D81-6AA817138F87}" name="Ano" dataDxfId="12">
      <calculatedColumnFormula>YEAR(tb_investimentos[[#This Row],[DATA]])</calculatedColumnFormula>
    </tableColumn>
    <tableColumn id="12" xr3:uid="{33F39B92-1685-4BD7-8907-6EA8C2276512}" name="Dia" dataDxfId="11">
      <calculatedColumnFormula>DAY(tb_investimentos[[#This Row],[DATA]])</calculatedColumnFormula>
    </tableColumn>
    <tableColumn id="19" xr3:uid="{12B78B57-9645-43AE-821A-4FD07ED70866}" name="PREÇO MÉDIO PONDERADO" dataDxfId="10">
      <calculatedColumnFormula>SUMIF($D$5:$D$10000, D5, $J$5:$J$10000) / SUMIF($D$5:$D$10000, D5, $G$5:$G$10000)</calculatedColumnFormula>
    </tableColumn>
    <tableColumn id="20" xr3:uid="{3B2A4C26-4D5D-46CC-B394-395364CDC36F}" name="VALOR TOTAL PONDERADO" dataDxfId="9">
      <calculatedColumnFormula>tb_investimentos[[#This Row],[PREÇO MÉDIO PONDERADO]]*tb_investimentos[[#This Row],[QUANTIDADE]]</calculatedColumnFormula>
    </tableColumn>
    <tableColumn id="14" xr3:uid="{73AC1CE2-6CE9-4174-89E5-D7A419DC532A}" name="PREÇO MERCADO" dataCellStyle="Moeda">
      <calculatedColumnFormula>IFERROR(_xlfn.XLOOKUP(tb_investimentos[[#This Row],[DESCRIÇÃO]],tb_acoes[Símbolo do ticker],tb_acoes[Preço]),"")</calculatedColumnFormula>
    </tableColumn>
    <tableColumn id="15" xr3:uid="{11D48D39-76EC-4ADB-A93B-EA8E324E5C7C}" name="VALOR TOTAL MERCADO" dataCellStyle="Moeda">
      <calculatedColumnFormula>IFERROR(tb_investimentos[[#This Row],[QUANTIDADE]]*tb_investimentos[[#This Row],[PREÇO MERCADO]],"")</calculatedColumnFormula>
    </tableColumn>
    <tableColumn id="16" xr3:uid="{BB1344EC-ACE4-4EC3-947A-15CBDEC6ECFE}" name="GANHO/PERDA" dataDxfId="8" dataCellStyle="Moeda">
      <calculatedColumnFormula>IFERROR(tb_investimentos[[#This Row],[VALOR TOTAL MERCADO]]-tb_investimentos[[#This Row],[VALOR TOTAL PONDERADO]],"")</calculatedColumnFormula>
    </tableColumn>
    <tableColumn id="18" xr3:uid="{1ACC4A94-C5BC-440F-B102-D18DEE8F13D9}" name="VARIAÇÃO (%)" dataDxfId="7" dataCellStyle="Moeda">
      <calculatedColumnFormula>IFERROR(_xlfn.XLOOKUP(tb_investimentos[[#This Row],[DESCRIÇÃO]],'INFO AÇÕES'!E:E,'INFO AÇÕES'!H:H),"")</calculatedColumnFormula>
    </tableColumn>
    <tableColumn id="17" xr3:uid="{EA5EF196-6CDA-43A8-A869-21B7976F6D3A}" name="VALORIZAÇÃO (%)" dataDxfId="6" dataCellStyle="Porcentagem">
      <calculatedColumnFormula>IFERROR((tb_investimentos[[#This Row],[VALOR TOTAL MERCADO]]-tb_investimentos[[#This Row],[VALOR TOTAL PONDERADO]])/tb_investimentos[[#This Row],[VALOR TOTAL PONDERADO]],"")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ersonalizada 1">
      <a:majorFont>
        <a:latin typeface="Bahnschrift"/>
        <a:ea typeface="Arial"/>
        <a:cs typeface="Arial"/>
      </a:majorFont>
      <a:minorFont>
        <a:latin typeface="Bahnschrift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7115-654F-4F15-9772-087C81AAB5D6}">
  <dimension ref="A1:M23"/>
  <sheetViews>
    <sheetView workbookViewId="0">
      <selection activeCell="E16" sqref="E16"/>
    </sheetView>
  </sheetViews>
  <sheetFormatPr defaultRowHeight="14.25" x14ac:dyDescent="0.2"/>
  <cols>
    <col min="1" max="1" width="78.42578125" style="2" customWidth="1"/>
    <col min="2" max="2" width="23.140625" style="2" customWidth="1"/>
    <col min="3" max="3" width="14" style="2" customWidth="1"/>
    <col min="4" max="4" width="24.140625" style="2" hidden="1" customWidth="1"/>
    <col min="5" max="5" width="18.85546875" style="2" customWidth="1"/>
    <col min="6" max="6" width="25.28515625" style="2" hidden="1" customWidth="1"/>
    <col min="7" max="7" width="17.5703125" style="2" customWidth="1"/>
    <col min="8" max="8" width="19.140625" style="2" customWidth="1"/>
    <col min="9" max="9" width="9.140625" style="2"/>
    <col min="10" max="10" width="13.85546875" style="2" customWidth="1"/>
    <col min="11" max="11" width="11.85546875" style="2" customWidth="1"/>
    <col min="12" max="16384" width="9.140625" style="2"/>
  </cols>
  <sheetData>
    <row r="1" spans="1:13" x14ac:dyDescent="0.2">
      <c r="A1" s="2" t="s">
        <v>10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</row>
    <row r="2" spans="1:13" x14ac:dyDescent="0.2">
      <c r="A2" s="2" t="e" vm="1">
        <v>#VALUE!</v>
      </c>
      <c r="B2" s="2" t="str" cm="1">
        <f t="array" aca="1" ref="B2" ca="1">_FV(A2,"Abreviatura do câmbio",TRUE)</f>
        <v>BVMF</v>
      </c>
      <c r="C2" s="3" cm="1">
        <f t="array" aca="1" ref="C2" ca="1">_FV(A2,"Preço")</f>
        <v>17.809999999999999</v>
      </c>
      <c r="D2" s="2" t="str" cm="1">
        <f t="array" aca="1" ref="D2" ca="1">_FV(A2,"Bolsa")</f>
        <v>B3 - Brazil Stock Exchange</v>
      </c>
      <c r="E2" s="2" t="str" cm="1">
        <f t="array" aca="1" ref="E2" ca="1">_FV(A2,"Símbolo do ticker",TRUE)</f>
        <v>BBAS3</v>
      </c>
      <c r="F2" s="4" cm="1">
        <f t="array" aca="1" ref="F2" ca="1">_FV(A2,"Hora da última transação",TRUE)</f>
        <v>46322.660308749997</v>
      </c>
      <c r="G2" s="3" cm="1">
        <f t="array" aca="1" ref="G2" ca="1">_FV(A2,"Variação")</f>
        <v>0.34</v>
      </c>
      <c r="H2" s="5" cm="1">
        <f t="array" aca="1" ref="H2" ca="1">_FV(A2,"Variação (%)",TRUE)</f>
        <v>1.9462E-2</v>
      </c>
      <c r="I2" s="2" t="str" cm="1">
        <f t="array" aca="1" ref="I2" ca="1">_FV(tb_acoes[[#This Row],[Ações]],"Moeda")</f>
        <v>BRL</v>
      </c>
      <c r="K2" s="2" t="str" cm="1">
        <f t="array" ref="K2">IFERROR(_FV(J2,"Preço"),"")</f>
        <v/>
      </c>
      <c r="L2" s="2" t="str" cm="1">
        <f t="array" ref="L2">IFERROR(_FV(J2,"Da moeda",TRUE),"")</f>
        <v/>
      </c>
      <c r="M2" s="2" t="str" cm="1">
        <f t="array" ref="M2">IFERROR(_FV(J2,"Moeda"),"")</f>
        <v/>
      </c>
    </row>
    <row r="3" spans="1:13" x14ac:dyDescent="0.2">
      <c r="A3" s="2" t="e" vm="2">
        <v>#VALUE!</v>
      </c>
      <c r="B3" s="2" t="str" cm="1">
        <f t="array" aca="1" ref="B3" ca="1">_FV(A3,"Abreviatura do câmbio",TRUE)</f>
        <v>BVMF</v>
      </c>
      <c r="C3" s="3" cm="1">
        <f t="array" aca="1" ref="C3" ca="1">_FV(A3,"Preço")</f>
        <v>35.67</v>
      </c>
      <c r="D3" s="2" t="str" cm="1">
        <f t="array" aca="1" ref="D3" ca="1">_FV(A3,"Bolsa")</f>
        <v>B3 - Brazil Stock Exchange</v>
      </c>
      <c r="E3" s="2" t="str" cm="1">
        <f t="array" aca="1" ref="E3" ca="1">_FV(A3,"Símbolo do ticker",TRUE)</f>
        <v>EQTL3</v>
      </c>
      <c r="F3" s="4" cm="1">
        <f t="array" aca="1" ref="F3" ca="1">_FV(A3,"Hora da última transação",TRUE)</f>
        <v>46322.66028935185</v>
      </c>
      <c r="G3" s="3" cm="1">
        <f t="array" aca="1" ref="G3" ca="1">_FV(A3,"Variação")</f>
        <v>0.83</v>
      </c>
      <c r="H3" s="5" cm="1">
        <f t="array" aca="1" ref="H3" ca="1">_FV(A3,"Variação (%)",TRUE)</f>
        <v>2.3822999999999997E-2</v>
      </c>
      <c r="I3" s="2" t="str" cm="1">
        <f t="array" aca="1" ref="I3" ca="1">_FV(tb_acoes[[#This Row],[Ações]],"Moeda")</f>
        <v>BRL</v>
      </c>
      <c r="K3" s="2" t="str" cm="1">
        <f t="array" ref="K3">IFERROR(_FV(J3,"Preço"),"")</f>
        <v/>
      </c>
      <c r="L3" s="2" t="str" cm="1">
        <f t="array" ref="L3">IFERROR(_FV(J3,"Da moeda",TRUE),"")</f>
        <v/>
      </c>
      <c r="M3" s="2" t="str" cm="1">
        <f t="array" ref="M3">IFERROR(_FV(J3,"Moeda"),"")</f>
        <v/>
      </c>
    </row>
    <row r="4" spans="1:13" x14ac:dyDescent="0.2">
      <c r="A4" s="2" t="e" vm="3">
        <v>#VALUE!</v>
      </c>
      <c r="B4" s="2" t="str" cm="1">
        <f t="array" aca="1" ref="B4" ca="1">_FV(A4,"Abreviatura do câmbio",TRUE)</f>
        <v>BVMF</v>
      </c>
      <c r="C4" s="3" cm="1">
        <f t="array" aca="1" ref="C4" ca="1">_FV(A4,"Preço")</f>
        <v>25.43</v>
      </c>
      <c r="D4" s="2" t="str" cm="1">
        <f t="array" aca="1" ref="D4" ca="1">_FV(A4,"Bolsa")</f>
        <v>B3 - Brazil Stock Exchange</v>
      </c>
      <c r="E4" s="2" t="str" cm="1">
        <f t="array" aca="1" ref="E4" ca="1">_FV(A4,"Símbolo do ticker",TRUE)</f>
        <v>SBSP3</v>
      </c>
      <c r="F4" s="4" cm="1">
        <f t="array" aca="1" ref="F4" ca="1">_FV(A4,"Hora da última transação",TRUE)</f>
        <v>46322.660299849216</v>
      </c>
      <c r="G4" s="3" cm="1">
        <f t="array" aca="1" ref="G4" ca="1">_FV(A4,"Variação")</f>
        <v>0.16</v>
      </c>
      <c r="H4" s="5" cm="1">
        <f t="array" aca="1" ref="H4" ca="1">_FV(A4,"Variação (%)",TRUE)</f>
        <v>6.332E-3</v>
      </c>
      <c r="I4" s="2" t="str" cm="1">
        <f t="array" aca="1" ref="I4" ca="1">_FV(tb_acoes[[#This Row],[Ações]],"Moeda")</f>
        <v>BRL</v>
      </c>
      <c r="K4" s="2" t="str" cm="1">
        <f t="array" ref="K4">IFERROR(_FV(J4,"Preço"),"")</f>
        <v/>
      </c>
      <c r="L4" s="2" t="str" cm="1">
        <f t="array" ref="L4">IFERROR(_FV(J4,"Da moeda",TRUE),"")</f>
        <v/>
      </c>
      <c r="M4" s="2" t="str" cm="1">
        <f t="array" ref="M4">IFERROR(_FV(J4,"Moeda"),"")</f>
        <v/>
      </c>
    </row>
    <row r="5" spans="1:13" x14ac:dyDescent="0.2">
      <c r="A5" s="2" t="e" vm="4">
        <v>#VALUE!</v>
      </c>
      <c r="B5" s="2" t="str" cm="1">
        <f t="array" aca="1" ref="B5" ca="1">_FV(A5,"Abreviatura do câmbio",TRUE)</f>
        <v>BVMF</v>
      </c>
      <c r="C5" s="3" cm="1">
        <f t="array" aca="1" ref="C5" ca="1">_FV(A5,"Preço")</f>
        <v>6.86</v>
      </c>
      <c r="D5" s="2" t="str" cm="1">
        <f t="array" aca="1" ref="D5" ca="1">_FV(A5,"Bolsa")</f>
        <v>B3 - Brazil Stock Exchange</v>
      </c>
      <c r="E5" s="2" t="str" cm="1">
        <f t="array" aca="1" ref="E5" ca="1">_FV(A5,"Símbolo do ticker",TRUE)</f>
        <v>SAPR4</v>
      </c>
      <c r="F5" s="4" cm="1">
        <f t="array" aca="1" ref="F5" ca="1">_FV(A5,"Hora da última transação",TRUE)</f>
        <v>46322.66028935185</v>
      </c>
      <c r="G5" s="3" cm="1">
        <f t="array" aca="1" ref="G5" ca="1">_FV(A5,"Variação")</f>
        <v>0.06</v>
      </c>
      <c r="H5" s="5" cm="1">
        <f t="array" aca="1" ref="H5" ca="1">_FV(A5,"Variação (%)",TRUE)</f>
        <v>8.8240000000000002E-3</v>
      </c>
      <c r="I5" s="2" t="str" cm="1">
        <f t="array" aca="1" ref="I5" ca="1">_FV(tb_acoes[[#This Row],[Ações]],"Moeda")</f>
        <v>BRL</v>
      </c>
      <c r="K5" s="2" t="str" cm="1">
        <f t="array" ref="K5">IFERROR(_FV(J5,"Preço"),"")</f>
        <v/>
      </c>
      <c r="L5" s="2" t="str" cm="1">
        <f t="array" ref="L5">IFERROR(_FV(J5,"Da moeda",TRUE),"")</f>
        <v/>
      </c>
      <c r="M5" s="2" t="str" cm="1">
        <f t="array" ref="M5">IFERROR(_FV(J5,"Moeda"),"")</f>
        <v/>
      </c>
    </row>
    <row r="6" spans="1:13" x14ac:dyDescent="0.2">
      <c r="A6" s="2" t="e" vm="5">
        <v>#VALUE!</v>
      </c>
      <c r="B6" s="2" t="str" cm="1">
        <f t="array" aca="1" ref="B6" ca="1">_FV(A6,"Abreviatura do câmbio",TRUE)</f>
        <v>BVMF</v>
      </c>
      <c r="C6" s="3" cm="1">
        <f t="array" aca="1" ref="C6" ca="1">_FV(A6,"Preço")</f>
        <v>13.97</v>
      </c>
      <c r="D6" s="2" t="str" cm="1">
        <f t="array" aca="1" ref="D6" ca="1">_FV(A6,"Bolsa")</f>
        <v>B3 - Brazil Stock Exchange</v>
      </c>
      <c r="E6" s="2" t="str" cm="1">
        <f t="array" aca="1" ref="E6" ca="1">_FV(A6,"Símbolo do ticker",TRUE)</f>
        <v>ITSA3</v>
      </c>
      <c r="F6" s="4" cm="1">
        <f t="array" aca="1" ref="F6" ca="1">_FV(A6,"Hora da última transação",TRUE)</f>
        <v>46322.660256955467</v>
      </c>
      <c r="G6" s="3" cm="1">
        <f t="array" aca="1" ref="G6" ca="1">_FV(A6,"Variação")</f>
        <v>-0.13</v>
      </c>
      <c r="H6" s="5" cm="1">
        <f t="array" aca="1" ref="H6" ca="1">_FV(A6,"Variação (%)",TRUE)</f>
        <v>-9.2200000000000008E-3</v>
      </c>
      <c r="I6" s="2" t="str" cm="1">
        <f t="array" aca="1" ref="I6" ca="1">_FV(tb_acoes[[#This Row],[Ações]],"Moeda")</f>
        <v>BRL</v>
      </c>
      <c r="K6" s="2" t="str" cm="1">
        <f t="array" ref="K6">IFERROR(_FV(J6,"Preço"),"")</f>
        <v/>
      </c>
      <c r="L6" s="2" t="str" cm="1">
        <f t="array" ref="L6">IFERROR(_FV(J6,"Da moeda",TRUE),"")</f>
        <v/>
      </c>
      <c r="M6" s="2" t="str" cm="1">
        <f t="array" ref="M6">IFERROR(_FV(J6,"Moeda"),"")</f>
        <v/>
      </c>
    </row>
    <row r="7" spans="1:13" x14ac:dyDescent="0.2">
      <c r="A7" s="2" t="e" vm="6">
        <v>#VALUE!</v>
      </c>
      <c r="B7" s="2" t="str" cm="1">
        <f t="array" aca="1" ref="B7" ca="1">_FV(A7,"Abreviatura do câmbio",TRUE)</f>
        <v>BVMF</v>
      </c>
      <c r="C7" s="3" cm="1">
        <f t="array" aca="1" ref="C7" ca="1">_FV(A7,"Preço")</f>
        <v>91.8</v>
      </c>
      <c r="D7" s="2" t="str" cm="1">
        <f t="array" aca="1" ref="D7" ca="1">_FV(A7,"Bolsa")</f>
        <v>B3 - Brazil Stock Exchange</v>
      </c>
      <c r="E7" s="97" t="str" cm="1">
        <f t="array" aca="1" ref="E7" ca="1">_FV(A7,"Símbolo do ticker",TRUE)</f>
        <v>XPLG11</v>
      </c>
      <c r="F7" s="4" cm="1">
        <f t="array" aca="1" ref="F7" ca="1">_FV(A7,"Hora da última transação",TRUE)</f>
        <v>46322.660254629627</v>
      </c>
      <c r="G7" s="3" cm="1">
        <f t="array" aca="1" ref="G7" ca="1">_FV(A7,"Variação")</f>
        <v>-1.32</v>
      </c>
      <c r="H7" s="5" cm="1">
        <f t="array" aca="1" ref="H7" ca="1">_FV(A7,"Variação (%)",TRUE)</f>
        <v>-1.4175E-2</v>
      </c>
      <c r="I7" s="2" t="str" cm="1">
        <f t="array" aca="1" ref="I7" ca="1">_FV(tb_acoes[[#This Row],[Ações]],"Moeda")</f>
        <v>BRL</v>
      </c>
      <c r="K7" s="2" t="str" cm="1">
        <f t="array" ref="K7">IFERROR(_FV(J7,"Preço"),"")</f>
        <v/>
      </c>
      <c r="L7" s="2" t="str" cm="1">
        <f t="array" ref="L7">IFERROR(_FV(J7,"Da moeda",TRUE),"")</f>
        <v/>
      </c>
      <c r="M7" s="2" t="str" cm="1">
        <f t="array" ref="M7">IFERROR(_FV(J7,"Moeda"),"")</f>
        <v/>
      </c>
    </row>
    <row r="8" spans="1:13" x14ac:dyDescent="0.2">
      <c r="A8" s="2" t="e" vm="7">
        <v>#VALUE!</v>
      </c>
      <c r="B8" s="2" t="str" cm="1">
        <f t="array" aca="1" ref="B8" ca="1">_FV(A8,"Abreviatura do câmbio",TRUE)</f>
        <v>BVMF</v>
      </c>
      <c r="C8" s="3" cm="1">
        <f t="array" aca="1" ref="C8" ca="1">_FV(A8,"Preço")</f>
        <v>149</v>
      </c>
      <c r="D8" s="2" t="str" cm="1">
        <f t="array" aca="1" ref="D8" ca="1">_FV(A8,"Bolsa")</f>
        <v>B3 - Brazil Stock Exchange</v>
      </c>
      <c r="E8" s="97" t="str" cm="1">
        <f t="array" aca="1" ref="E8" ca="1">_FV(A8,"Símbolo do ticker",TRUE)</f>
        <v>HGLG11</v>
      </c>
      <c r="F8" s="4" cm="1">
        <f t="array" aca="1" ref="F8" ca="1">_FV(A8,"Hora da última transação",TRUE)</f>
        <v>46322.660266365623</v>
      </c>
      <c r="G8" s="3" cm="1">
        <f t="array" aca="1" ref="G8" ca="1">_FV(A8,"Variação")</f>
        <v>-2.7</v>
      </c>
      <c r="H8" s="5" cm="1">
        <f t="array" aca="1" ref="H8" ca="1">_FV(A8,"Variação (%)",TRUE)</f>
        <v>-1.7798000000000001E-2</v>
      </c>
      <c r="I8" s="2" t="str" cm="1">
        <f t="array" aca="1" ref="I8" ca="1">_FV(tb_acoes[[#This Row],[Ações]],"Moeda")</f>
        <v>BRL</v>
      </c>
      <c r="K8" s="2" t="str" cm="1">
        <f t="array" ref="K8">IFERROR(_FV(J8,"Preço"),"")</f>
        <v/>
      </c>
      <c r="L8" s="2" t="str" cm="1">
        <f t="array" ref="L8">IFERROR(_FV(J8,"Da moeda",TRUE),"")</f>
        <v/>
      </c>
      <c r="M8" s="2" t="str" cm="1">
        <f t="array" ref="M8">IFERROR(_FV(J8,"Moeda"),"")</f>
        <v/>
      </c>
    </row>
    <row r="9" spans="1:13" x14ac:dyDescent="0.2">
      <c r="A9" s="2" t="e" vm="8">
        <v>#VALUE!</v>
      </c>
      <c r="B9" s="2" t="str" cm="1">
        <f t="array" aca="1" ref="B9" ca="1">_FV(A9,"Abreviatura do câmbio",TRUE)</f>
        <v>BVMF</v>
      </c>
      <c r="C9" s="3" cm="1">
        <f t="array" aca="1" ref="C9" ca="1">_FV(A9,"Preço")</f>
        <v>151.44999999999999</v>
      </c>
      <c r="D9" s="2" t="str" cm="1">
        <f t="array" aca="1" ref="D9" ca="1">_FV(A9,"Bolsa")</f>
        <v>B3 - Brazil Stock Exchange</v>
      </c>
      <c r="E9" s="97" t="str" cm="1">
        <f t="array" aca="1" ref="E9" ca="1">_FV(A9,"Símbolo do ticker",TRUE)</f>
        <v>KNRI11</v>
      </c>
      <c r="F9" s="4" cm="1">
        <f t="array" aca="1" ref="F9" ca="1">_FV(A9,"Hora da última transação",TRUE)</f>
        <v>46322.660277777781</v>
      </c>
      <c r="G9" s="3" cm="1">
        <f t="array" aca="1" ref="G9" ca="1">_FV(A9,"Variação")</f>
        <v>-2</v>
      </c>
      <c r="H9" s="5" cm="1">
        <f t="array" aca="1" ref="H9" ca="1">_FV(A9,"Variação (%)",TRUE)</f>
        <v>-1.3033999999999999E-2</v>
      </c>
      <c r="I9" s="2" t="str" cm="1">
        <f t="array" aca="1" ref="I9" ca="1">_FV(tb_acoes[[#This Row],[Ações]],"Moeda")</f>
        <v>BRL</v>
      </c>
      <c r="K9" s="2" t="str" cm="1">
        <f t="array" ref="K9">IFERROR(_FV(J9,"Preço"),"")</f>
        <v/>
      </c>
      <c r="L9" s="2" t="str" cm="1">
        <f t="array" ref="L9">IFERROR(_FV(J9,"Da moeda",TRUE),"")</f>
        <v/>
      </c>
      <c r="M9" s="2" t="str" cm="1">
        <f t="array" ref="M9">IFERROR(_FV(J9,"Moeda"),"")</f>
        <v/>
      </c>
    </row>
    <row r="10" spans="1:13" x14ac:dyDescent="0.2">
      <c r="A10" s="2" t="e" vm="9">
        <v>#VALUE!</v>
      </c>
      <c r="B10" s="2" t="str" cm="1">
        <f t="array" aca="1" ref="B10" ca="1">_FV(A10,"Abreviatura do câmbio",TRUE)</f>
        <v>BVMF</v>
      </c>
      <c r="C10" s="3" cm="1">
        <f t="array" aca="1" ref="C10" ca="1">_FV(A10,"Preço")</f>
        <v>98.61</v>
      </c>
      <c r="D10" s="2" t="str" cm="1">
        <f t="array" aca="1" ref="D10" ca="1">_FV(A10,"Bolsa")</f>
        <v>B3 - Brazil Stock Exchange</v>
      </c>
      <c r="E10" s="97" t="str" cm="1">
        <f t="array" aca="1" ref="E10" ca="1">_FV(A10,"Símbolo do ticker",TRUE)</f>
        <v>BTLG11</v>
      </c>
      <c r="F10" s="4" cm="1">
        <f t="array" aca="1" ref="F10" ca="1">_FV(A10,"Hora da última transação",TRUE)</f>
        <v>46322.660301642965</v>
      </c>
      <c r="G10" s="3" cm="1">
        <f t="array" aca="1" ref="G10" ca="1">_FV(A10,"Variação")</f>
        <v>-1.54</v>
      </c>
      <c r="H10" s="5" cm="1">
        <f t="array" aca="1" ref="H10" ca="1">_FV(A10,"Variação (%)",TRUE)</f>
        <v>-1.5377E-2</v>
      </c>
      <c r="I10" s="2" t="str" cm="1">
        <f t="array" aca="1" ref="I10" ca="1">_FV(tb_acoes[[#This Row],[Ações]],"Moeda")</f>
        <v>BRL</v>
      </c>
      <c r="K10" s="2" t="str" cm="1">
        <f t="array" ref="K10">IFERROR(_FV(J10,"Preço"),"")</f>
        <v/>
      </c>
      <c r="L10" s="2" t="str" cm="1">
        <f t="array" ref="L10">IFERROR(_FV(J10,"Da moeda",TRUE),"")</f>
        <v/>
      </c>
      <c r="M10" s="2" t="str" cm="1">
        <f t="array" ref="M10">IFERROR(_FV(J10,"Moeda"),"")</f>
        <v/>
      </c>
    </row>
    <row r="11" spans="1:13" x14ac:dyDescent="0.2">
      <c r="A11" s="2" t="e" vm="10">
        <v>#VALUE!</v>
      </c>
      <c r="B11" s="2" t="str" cm="1">
        <f t="array" aca="1" ref="B11" ca="1">_FV(A11,"Abreviatura do câmbio",TRUE)</f>
        <v>BVMF</v>
      </c>
      <c r="C11" s="3" cm="1">
        <f t="array" aca="1" ref="C11" ca="1">_FV(A11,"Preço")</f>
        <v>99.33</v>
      </c>
      <c r="D11" s="2" t="str" cm="1">
        <f t="array" aca="1" ref="D11" ca="1">_FV(A11,"Bolsa")</f>
        <v>B3 - Brazil Stock Exchange</v>
      </c>
      <c r="E11" s="97" t="str" cm="1">
        <f t="array" aca="1" ref="E11" ca="1">_FV(A11,"Símbolo do ticker",TRUE)</f>
        <v>XPML11</v>
      </c>
      <c r="F11" s="4" cm="1">
        <f t="array" aca="1" ref="F11" ca="1">_FV(A11,"Hora da última transação",TRUE)</f>
        <v>46322.66028935185</v>
      </c>
      <c r="G11" s="3" cm="1">
        <f t="array" aca="1" ref="G11" ca="1">_FV(A11,"Variação")</f>
        <v>-0.87</v>
      </c>
      <c r="H11" s="5" cm="1">
        <f t="array" aca="1" ref="H11" ca="1">_FV(A11,"Variação (%)",TRUE)</f>
        <v>-8.6829999999999997E-3</v>
      </c>
      <c r="I11" s="2" t="str" cm="1">
        <f t="array" aca="1" ref="I11" ca="1">_FV(tb_acoes[[#This Row],[Ações]],"Moeda")</f>
        <v>BRL</v>
      </c>
      <c r="K11" s="2" t="str" cm="1">
        <f t="array" ref="K11">IFERROR(_FV(J11,"Preço"),"")</f>
        <v/>
      </c>
      <c r="L11" s="2" t="str" cm="1">
        <f t="array" ref="L11">IFERROR(_FV(J11,"Da moeda",TRUE),"")</f>
        <v/>
      </c>
      <c r="M11" s="2" t="str" cm="1">
        <f t="array" ref="M11">IFERROR(_FV(J11,"Moeda"),"")</f>
        <v/>
      </c>
    </row>
    <row r="12" spans="1:13" x14ac:dyDescent="0.2">
      <c r="A12" s="2" t="e" vm="11">
        <v>#VALUE!</v>
      </c>
      <c r="B12" s="2" t="str" cm="1">
        <f t="array" aca="1" ref="B12" ca="1">_FV(A12,"Abreviatura do câmbio",TRUE)</f>
        <v>BVMF</v>
      </c>
      <c r="C12" s="3" cm="1">
        <f t="array" aca="1" ref="C12" ca="1">_FV(A12,"Preço")</f>
        <v>86.67</v>
      </c>
      <c r="D12" s="2" t="str" cm="1">
        <f t="array" aca="1" ref="D12" ca="1">_FV(A12,"Bolsa")</f>
        <v>B3 - Brazil Stock Exchange</v>
      </c>
      <c r="E12" s="97" t="str" cm="1">
        <f t="array" aca="1" ref="E12" ca="1">_FV(A12,"Símbolo do ticker",TRUE)</f>
        <v>KNCA11</v>
      </c>
      <c r="F12" s="4" cm="1">
        <f t="array" aca="1" ref="F12" ca="1">_FV(A12,"Hora da última transação",TRUE)</f>
        <v>46322.660215740623</v>
      </c>
      <c r="G12" s="3" cm="1">
        <f t="array" aca="1" ref="G12" ca="1">_FV(A12,"Variação")</f>
        <v>-1.33</v>
      </c>
      <c r="H12" s="5" cm="1">
        <f t="array" aca="1" ref="H12" ca="1">_FV(A12,"Variação (%)",TRUE)</f>
        <v>-1.5114000000000001E-2</v>
      </c>
      <c r="I12" s="2" t="str" cm="1">
        <f t="array" aca="1" ref="I12" ca="1">_FV(tb_acoes[[#This Row],[Ações]],"Moeda")</f>
        <v>BRL</v>
      </c>
      <c r="K12" s="2" t="str" cm="1">
        <f t="array" ref="K12">IFERROR(_FV(J12,"Preço"),"")</f>
        <v/>
      </c>
      <c r="L12" s="2" t="str" cm="1">
        <f t="array" ref="L12">IFERROR(_FV(J12,"Da moeda",TRUE),"")</f>
        <v/>
      </c>
      <c r="M12" s="2" t="str" cm="1">
        <f t="array" ref="M12">IFERROR(_FV(J12,"Moeda"),"")</f>
        <v/>
      </c>
    </row>
    <row r="13" spans="1:13" x14ac:dyDescent="0.2">
      <c r="A13" s="2" t="e" vm="12">
        <v>#VALUE!</v>
      </c>
      <c r="B13" s="2" t="str" cm="1">
        <f t="array" aca="1" ref="B13" ca="1">_FV(A13,"Abreviatura do câmbio",TRUE)</f>
        <v>BVMF</v>
      </c>
      <c r="C13" s="3" cm="1">
        <f t="array" aca="1" ref="C13" ca="1">_FV(A13,"Preço")</f>
        <v>9.02</v>
      </c>
      <c r="D13" s="2" t="str" cm="1">
        <f t="array" aca="1" ref="D13" ca="1">_FV(A13,"Bolsa")</f>
        <v>B3 - Brazil Stock Exchange</v>
      </c>
      <c r="E13" s="2" t="str" cm="1">
        <f t="array" aca="1" ref="E13" ca="1">_FV(A13,"Símbolo do ticker",TRUE)</f>
        <v>MXRF11</v>
      </c>
      <c r="F13" s="4" cm="1">
        <f t="array" aca="1" ref="F13" ca="1">_FV(A13,"Hora da última transação",TRUE)</f>
        <v>46322.66031180547</v>
      </c>
      <c r="G13" s="3" cm="1">
        <f t="array" aca="1" ref="G13" ca="1">_FV(A13,"Variação")</f>
        <v>-0.09</v>
      </c>
      <c r="H13" s="5" cm="1">
        <f t="array" aca="1" ref="H13" ca="1">_FV(A13,"Variação (%)",TRUE)</f>
        <v>-9.8790000000000006E-3</v>
      </c>
      <c r="I13" s="2" t="str" cm="1">
        <f t="array" aca="1" ref="I13" ca="1">_FV(tb_acoes[[#This Row],[Ações]],"Moeda")</f>
        <v>BRL</v>
      </c>
      <c r="K13" s="2" t="str" cm="1">
        <f t="array" ref="K13">IFERROR(_FV(J13,"Preço"),"")</f>
        <v/>
      </c>
      <c r="L13" s="2" t="str" cm="1">
        <f t="array" ref="L13">IFERROR(_FV(J13,"Da moeda",TRUE),"")</f>
        <v/>
      </c>
      <c r="M13" s="2" t="str" cm="1">
        <f t="array" ref="M13">IFERROR(_FV(J13,"Moeda"),"")</f>
        <v/>
      </c>
    </row>
    <row r="14" spans="1:13" x14ac:dyDescent="0.2">
      <c r="A14" s="2" t="e" vm="13">
        <v>#VALUE!</v>
      </c>
      <c r="B14" s="2" t="str" cm="1">
        <f t="array" aca="1" ref="B14" ca="1">_FV(A14,"Abreviatura do câmbio",TRUE)</f>
        <v>BVMF</v>
      </c>
      <c r="C14" s="3" cm="1">
        <f t="array" aca="1" ref="C14" ca="1">_FV(A14,"Preço")</f>
        <v>43.32</v>
      </c>
      <c r="D14" s="2" t="str" cm="1">
        <f t="array" aca="1" ref="D14" ca="1">_FV(A14,"Bolsa")</f>
        <v>B3 - Brazil Stock Exchange</v>
      </c>
      <c r="E14" s="2" t="str" cm="1">
        <f t="array" aca="1" ref="E14" ca="1">_FV(A14,"Símbolo do ticker",TRUE)</f>
        <v>BBSE3</v>
      </c>
      <c r="F14" s="4" cm="1">
        <f t="array" aca="1" ref="F14" ca="1">_FV(A14,"Hora da última transação",TRUE)</f>
        <v>46322.660324074073</v>
      </c>
      <c r="G14" s="3" cm="1">
        <f t="array" aca="1" ref="G14" ca="1">_FV(A14,"Variação")</f>
        <v>0.18</v>
      </c>
      <c r="H14" s="5" cm="1">
        <f t="array" aca="1" ref="H14" ca="1">_FV(A14,"Variação (%)",TRUE)</f>
        <v>4.1720000000000004E-3</v>
      </c>
      <c r="I14" s="2" t="str" cm="1">
        <f t="array" aca="1" ref="I14" ca="1">_FV(tb_acoes[[#This Row],[Ações]],"Moeda")</f>
        <v>BRL</v>
      </c>
      <c r="K14" s="2" t="str" cm="1">
        <f t="array" ref="K14">IFERROR(_FV(J14,"Preço"),"")</f>
        <v/>
      </c>
      <c r="L14" s="2" t="str" cm="1">
        <f t="array" ref="L14">IFERROR(_FV(J14,"Da moeda",TRUE),"")</f>
        <v/>
      </c>
      <c r="M14" s="2" t="str" cm="1">
        <f t="array" ref="M14">IFERROR(_FV(J14,"Moeda"),"")</f>
        <v/>
      </c>
    </row>
    <row r="15" spans="1:13" x14ac:dyDescent="0.2">
      <c r="A15" s="2" t="e" vm="14">
        <v>#VALUE!</v>
      </c>
      <c r="B15" s="2" t="str" cm="1">
        <f t="array" aca="1" ref="B15" ca="1">_FV(A15,"Abreviatura do câmbio",TRUE)</f>
        <v>BVMF</v>
      </c>
      <c r="C15" s="3" cm="1">
        <f t="array" aca="1" ref="C15" ca="1">_FV(A15,"Preço")</f>
        <v>8.85</v>
      </c>
      <c r="D15" s="2" t="str" cm="1">
        <f t="array" aca="1" ref="D15" ca="1">_FV(A15,"Bolsa")</f>
        <v>B3 - Brazil Stock Exchange</v>
      </c>
      <c r="E15" s="2" t="str" cm="1">
        <f t="array" aca="1" ref="E15" ca="1">_FV(A15,"Símbolo do ticker",TRUE)</f>
        <v>KNSC11</v>
      </c>
      <c r="F15" s="4" cm="1">
        <f t="array" aca="1" ref="F15" ca="1">_FV(A15,"Hora da última transação",TRUE)</f>
        <v>46322.660249339846</v>
      </c>
      <c r="G15" s="3" cm="1">
        <f t="array" aca="1" ref="G15" ca="1">_FV(A15,"Variação")</f>
        <v>-0.13</v>
      </c>
      <c r="H15" s="5" cm="1">
        <f t="array" aca="1" ref="H15" ca="1">_FV(A15,"Variação (%)",TRUE)</f>
        <v>-1.4477E-2</v>
      </c>
      <c r="I15" s="2" t="str" cm="1">
        <f t="array" aca="1" ref="I15" ca="1">_FV(tb_acoes[[#This Row],[Ações]],"Moeda")</f>
        <v>BRL</v>
      </c>
      <c r="K15" s="2" t="str" cm="1">
        <f t="array" ref="K15">IFERROR(_FV(J15,"Preço"),"")</f>
        <v/>
      </c>
      <c r="L15" s="2" t="str" cm="1">
        <f t="array" ref="L15">IFERROR(_FV(J15,"Da moeda",TRUE),"")</f>
        <v/>
      </c>
      <c r="M15" s="2" t="str" cm="1">
        <f t="array" ref="M15">IFERROR(_FV(J15,"Moeda"),"")</f>
        <v/>
      </c>
    </row>
    <row r="16" spans="1:13" x14ac:dyDescent="0.2">
      <c r="A16" s="2" t="e" vm="15">
        <v>#VALUE!</v>
      </c>
      <c r="B16" s="2" t="str" cm="1">
        <f t="array" aca="1" ref="B16" ca="1">_FV(A16,"Abreviatura do câmbio",TRUE)</f>
        <v>BVMF</v>
      </c>
      <c r="C16" s="3" cm="1">
        <f t="array" aca="1" ref="C16" ca="1">_FV(A16,"Preço")</f>
        <v>105.28</v>
      </c>
      <c r="D16" s="2" t="str" cm="1">
        <f t="array" aca="1" ref="D16" ca="1">_FV(A16,"Bolsa")</f>
        <v>B3 - Brazil Stock Exchange</v>
      </c>
      <c r="E16" s="97" t="str" cm="1">
        <f t="array" aca="1" ref="E16" ca="1">_FV(A16,"Símbolo do ticker",TRUE)</f>
        <v>KNCR11</v>
      </c>
      <c r="F16" s="4" cm="1">
        <f t="array" aca="1" ref="F16" ca="1">_FV(A16,"Hora da última transação",TRUE)</f>
        <v>46322.660300925927</v>
      </c>
      <c r="G16" s="3" cm="1">
        <f t="array" aca="1" ref="G16" ca="1">_FV(A16,"Variação")</f>
        <v>0.98</v>
      </c>
      <c r="H16" s="5" cm="1">
        <f t="array" aca="1" ref="H16" ca="1">_FV(A16,"Variação (%)",TRUE)</f>
        <v>9.3959999999999998E-3</v>
      </c>
      <c r="I16" s="2" t="str" cm="1">
        <f t="array" aca="1" ref="I16" ca="1">_FV(tb_acoes[[#This Row],[Ações]],"Moeda")</f>
        <v>BRL</v>
      </c>
      <c r="K16" s="2" t="str" cm="1">
        <f t="array" ref="K16">IFERROR(_FV(J16,"Preço"),"")</f>
        <v/>
      </c>
      <c r="L16" s="2" t="str" cm="1">
        <f t="array" ref="L16">IFERROR(_FV(J16,"Da moeda",TRUE),"")</f>
        <v/>
      </c>
      <c r="M16" s="2" t="str" cm="1">
        <f t="array" ref="M16">IFERROR(_FV(J16,"Moeda"),"")</f>
        <v/>
      </c>
    </row>
    <row r="17" spans="1:13" x14ac:dyDescent="0.2">
      <c r="A17" s="2" t="e" vm="16">
        <v>#VALUE!</v>
      </c>
      <c r="B17" s="2" t="str" cm="1">
        <f t="array" aca="1" ref="B17" ca="1">_FV(A17,"Abreviatura do câmbio",TRUE)</f>
        <v>ARCX</v>
      </c>
      <c r="C17" s="3" cm="1">
        <f t="array" aca="1" ref="C17" ca="1">_FV(A17,"Preço")</f>
        <v>50.662500000000001</v>
      </c>
      <c r="D17" s="2" t="str" cm="1">
        <f t="array" aca="1" ref="D17" ca="1">_FV(A17,"Bolsa")</f>
        <v>NYSE Arca</v>
      </c>
      <c r="E17" s="2" t="str" cm="1">
        <f t="array" aca="1" ref="E17" ca="1">_FV(A17,"Símbolo do ticker",TRUE)</f>
        <v>TFLO</v>
      </c>
      <c r="F17" s="4" cm="1">
        <f t="array" aca="1" ref="F17" ca="1">_FV(A17,"Hora da última transação",TRUE)</f>
        <v>46322.670612395312</v>
      </c>
      <c r="G17" s="3" cm="1">
        <f t="array" aca="1" ref="G17" ca="1">_FV(A17,"Variação")</f>
        <v>2.5000000000000001E-3</v>
      </c>
      <c r="H17" s="5" cm="1">
        <f t="array" aca="1" ref="H17" ca="1">_FV(A17,"Variação (%)",TRUE)</f>
        <v>4.935E-5</v>
      </c>
      <c r="I17" s="2" t="str" cm="1">
        <f t="array" aca="1" ref="I17" ca="1">_FV(tb_acoes[[#This Row],[Ações]],"Moeda")</f>
        <v>USD</v>
      </c>
      <c r="J17" s="2" t="e" vm="17">
        <v>#VALUE!</v>
      </c>
      <c r="K17" s="3" cm="1">
        <f t="array" aca="1" ref="K17" ca="1">IFERROR(_FV(J17,"Preço"),"")</f>
        <v>5.3414000000000001</v>
      </c>
      <c r="L17" s="2" t="str" cm="1">
        <f t="array" aca="1" ref="L17" ca="1">IFERROR(_FV(J17,"Da moeda",TRUE),"")</f>
        <v>USD</v>
      </c>
      <c r="M17" s="2" t="str" cm="1">
        <f t="array" aca="1" ref="M17" ca="1">IFERROR(_FV(J17,"Moeda"),"")</f>
        <v>BRL</v>
      </c>
    </row>
    <row r="18" spans="1:13" x14ac:dyDescent="0.2">
      <c r="A18" s="2" t="e" vm="18">
        <v>#VALUE!</v>
      </c>
      <c r="B18" s="2" t="str" cm="1">
        <f t="array" aca="1" ref="B18" ca="1">_FV(A18,"Abreviatura do câmbio",TRUE)</f>
        <v>BVMF</v>
      </c>
      <c r="C18" s="3" cm="1">
        <f t="array" aca="1" ref="C18" ca="1">_FV(A18,"Preço")</f>
        <v>8.35</v>
      </c>
      <c r="D18" s="2" t="str" cm="1">
        <f t="array" aca="1" ref="D18" ca="1">_FV(A18,"Bolsa")</f>
        <v>B3 - Brazil Stock Exchange</v>
      </c>
      <c r="E18" s="2" t="str" cm="1">
        <f t="array" aca="1" ref="E18" ca="1">_FV(A18,"Símbolo do ticker",TRUE)</f>
        <v>GARE11</v>
      </c>
      <c r="F18" s="4" cm="1">
        <f t="array" aca="1" ref="F18" ca="1">_FV(A18,"Hora da última transação",TRUE)</f>
        <v>46321.874887164064</v>
      </c>
      <c r="G18" s="3" cm="1">
        <f t="array" aca="1" ref="G18" ca="1">_FV(A18,"Variação")</f>
        <v>-0.39</v>
      </c>
      <c r="H18" s="5" cm="1">
        <f t="array" aca="1" ref="H18" ca="1">_FV(A18,"Variação (%)",TRUE)</f>
        <v>-4.4622000000000002E-2</v>
      </c>
      <c r="I18" s="2" t="str" cm="1">
        <f t="array" aca="1" ref="I18" ca="1">_FV(tb_acoes[[#This Row],[Ações]],"Moeda")</f>
        <v>BRL</v>
      </c>
      <c r="K18" s="2" t="str" cm="1">
        <f t="array" ref="K18">IFERROR(_FV(J18,"Preço"),"")</f>
        <v/>
      </c>
      <c r="L18" s="2" t="str" cm="1">
        <f t="array" ref="L18">IFERROR(_FV(J18,"Da moeda",TRUE),"")</f>
        <v/>
      </c>
      <c r="M18" s="2" t="str" cm="1">
        <f t="array" ref="M18">IFERROR(_FV(J18,"Moeda"),"")</f>
        <v/>
      </c>
    </row>
    <row r="19" spans="1:13" x14ac:dyDescent="0.2">
      <c r="A19" s="2" t="e" vm="19">
        <v>#VALUE!</v>
      </c>
      <c r="B19" s="2" t="str" cm="1">
        <f t="array" aca="1" ref="B19" ca="1">_FV(A19,"Abreviatura do câmbio",TRUE)</f>
        <v>ARCX</v>
      </c>
      <c r="C19" s="3" cm="1">
        <f t="array" aca="1" ref="C19" ca="1">_FV(A19,"Preço")</f>
        <v>774.07</v>
      </c>
      <c r="D19" s="2" t="str" cm="1">
        <f t="array" aca="1" ref="D19" ca="1">_FV(A19,"Bolsa")</f>
        <v>NYSE Arca</v>
      </c>
      <c r="E19" s="2" t="str" cm="1">
        <f t="array" aca="1" ref="E19" ca="1">_FV(A19,"Símbolo do ticker",TRUE)</f>
        <v>IVV</v>
      </c>
      <c r="F19" s="4" cm="1">
        <f t="array" aca="1" ref="F19" ca="1">_FV(A19,"Hora da última transação",TRUE)</f>
        <v>46322.670728760939</v>
      </c>
      <c r="G19" s="3" cm="1">
        <f t="array" aca="1" ref="G19" ca="1">_FV(A19,"Variação")</f>
        <v>5.38</v>
      </c>
      <c r="H19" s="5" cm="1">
        <f t="array" aca="1" ref="H19" ca="1">_FV(A19,"Variação (%)",TRUE)</f>
        <v>6.999E-3</v>
      </c>
      <c r="I19" s="2" t="str" cm="1">
        <f t="array" aca="1" ref="I19" ca="1">_FV(tb_acoes[[#This Row],[Ações]],"Moeda")</f>
        <v>USD</v>
      </c>
      <c r="J19" s="2" t="e" vm="17">
        <v>#VALUE!</v>
      </c>
      <c r="K19" s="3" cm="1">
        <f t="array" aca="1" ref="K19" ca="1">IFERROR(_FV(J19,"Preço"),"")</f>
        <v>5.3414000000000001</v>
      </c>
      <c r="L19" s="2" t="str" cm="1">
        <f t="array" aca="1" ref="L19" ca="1">IFERROR(_FV(J19,"Da moeda",TRUE),"")</f>
        <v>USD</v>
      </c>
      <c r="M19" s="2" t="str" cm="1">
        <f t="array" aca="1" ref="M19" ca="1">IFERROR(_FV(J19,"Moeda"),"")</f>
        <v>BRL</v>
      </c>
    </row>
    <row r="22" spans="1:13" x14ac:dyDescent="0.2">
      <c r="A22" s="8"/>
    </row>
    <row r="23" spans="1:13" x14ac:dyDescent="0.2">
      <c r="A23" s="8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4644-B6F3-4059-9C9A-298259C468E2}">
  <dimension ref="A1:C14"/>
  <sheetViews>
    <sheetView workbookViewId="0">
      <selection activeCell="B41" sqref="B41"/>
    </sheetView>
  </sheetViews>
  <sheetFormatPr defaultRowHeight="12.75" x14ac:dyDescent="0.2"/>
  <cols>
    <col min="1" max="1" width="18" bestFit="1" customWidth="1"/>
    <col min="2" max="2" width="7.7109375" bestFit="1" customWidth="1"/>
    <col min="3" max="3" width="52.5703125" bestFit="1" customWidth="1"/>
  </cols>
  <sheetData>
    <row r="1" spans="1:3" x14ac:dyDescent="0.2">
      <c r="A1" s="104" t="s">
        <v>142</v>
      </c>
    </row>
    <row r="2" spans="1:3" x14ac:dyDescent="0.2">
      <c r="A2" s="105" t="s">
        <v>143</v>
      </c>
      <c r="B2" s="105" t="s">
        <v>144</v>
      </c>
      <c r="C2" s="105" t="s">
        <v>145</v>
      </c>
    </row>
    <row r="3" spans="1:3" x14ac:dyDescent="0.2">
      <c r="A3">
        <v>1</v>
      </c>
      <c r="B3" t="s">
        <v>146</v>
      </c>
      <c r="C3" t="s">
        <v>147</v>
      </c>
    </row>
    <row r="4" spans="1:3" x14ac:dyDescent="0.2">
      <c r="A4">
        <v>2</v>
      </c>
      <c r="B4" t="s">
        <v>148</v>
      </c>
      <c r="C4" t="s">
        <v>149</v>
      </c>
    </row>
    <row r="6" spans="1:3" x14ac:dyDescent="0.2">
      <c r="A6" s="104" t="s">
        <v>150</v>
      </c>
    </row>
    <row r="7" spans="1:3" x14ac:dyDescent="0.2">
      <c r="A7" s="105" t="s">
        <v>143</v>
      </c>
      <c r="B7" s="105" t="s">
        <v>151</v>
      </c>
      <c r="C7" s="105" t="s">
        <v>145</v>
      </c>
    </row>
    <row r="10" spans="1:3" x14ac:dyDescent="0.2">
      <c r="A10" s="104" t="s">
        <v>152</v>
      </c>
      <c r="B10" t="s">
        <v>153</v>
      </c>
    </row>
    <row r="11" spans="1:3" x14ac:dyDescent="0.2">
      <c r="B11" t="s">
        <v>154</v>
      </c>
    </row>
    <row r="13" spans="1:3" x14ac:dyDescent="0.2">
      <c r="B13" t="s">
        <v>155</v>
      </c>
    </row>
    <row r="14" spans="1:3" x14ac:dyDescent="0.2">
      <c r="B14" t="s">
        <v>156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806A-1BEE-4E95-844C-C81E9DCFA52E}">
  <dimension ref="B2:T53"/>
  <sheetViews>
    <sheetView showGridLines="0" tabSelected="1" workbookViewId="0">
      <selection activeCell="S17" sqref="S17"/>
    </sheetView>
  </sheetViews>
  <sheetFormatPr defaultRowHeight="12.75" x14ac:dyDescent="0.2"/>
  <cols>
    <col min="1" max="1" width="3.7109375" customWidth="1"/>
    <col min="2" max="2" width="11.7109375" style="11" customWidth="1"/>
    <col min="3" max="3" width="12.42578125" style="63" customWidth="1"/>
    <col min="4" max="6" width="14.7109375" style="64" customWidth="1"/>
    <col min="7" max="7" width="14.42578125" style="64" customWidth="1"/>
    <col min="8" max="8" width="13" style="63" customWidth="1"/>
    <col min="9" max="10" width="12.5703125" style="63" customWidth="1"/>
    <col min="12" max="13" width="10.140625" bestFit="1" customWidth="1"/>
  </cols>
  <sheetData>
    <row r="2" spans="2:20" x14ac:dyDescent="0.2">
      <c r="B2" s="96" t="s">
        <v>62</v>
      </c>
      <c r="C2" s="9" t="s">
        <v>39</v>
      </c>
    </row>
    <row r="3" spans="2:20" ht="13.5" thickBot="1" x14ac:dyDescent="0.25">
      <c r="B3" s="96" t="s">
        <v>18</v>
      </c>
      <c r="C3" s="9" t="s">
        <v>6</v>
      </c>
    </row>
    <row r="4" spans="2:20" ht="19.5" customHeight="1" x14ac:dyDescent="0.2">
      <c r="B4" s="93"/>
      <c r="C4" s="94"/>
      <c r="D4" s="94" t="s">
        <v>70</v>
      </c>
      <c r="E4" s="94" t="s">
        <v>70</v>
      </c>
      <c r="F4" s="94" t="s">
        <v>70</v>
      </c>
      <c r="G4" s="94" t="s">
        <v>70</v>
      </c>
      <c r="H4" s="95" t="s">
        <v>70</v>
      </c>
      <c r="I4" s="94" t="s">
        <v>1</v>
      </c>
      <c r="J4" s="94" t="s">
        <v>1</v>
      </c>
    </row>
    <row r="5" spans="2:20" s="60" customFormat="1" ht="25.5" x14ac:dyDescent="0.2">
      <c r="B5" s="70" t="s">
        <v>69</v>
      </c>
      <c r="C5" s="71" t="s">
        <v>66</v>
      </c>
      <c r="D5" s="71" t="s">
        <v>68</v>
      </c>
      <c r="E5" s="71" t="s">
        <v>67</v>
      </c>
      <c r="F5" s="71" t="s">
        <v>159</v>
      </c>
      <c r="G5" s="71" t="s">
        <v>160</v>
      </c>
      <c r="H5" s="71" t="s">
        <v>161</v>
      </c>
      <c r="I5" s="71" t="s">
        <v>71</v>
      </c>
      <c r="J5" s="71" t="s">
        <v>133</v>
      </c>
      <c r="K5"/>
      <c r="L5"/>
      <c r="M5"/>
      <c r="N5"/>
      <c r="O5" s="9"/>
      <c r="P5" s="9"/>
      <c r="Q5" s="9"/>
    </row>
    <row r="6" spans="2:20" x14ac:dyDescent="0.2">
      <c r="B6" s="69" t="s">
        <v>10</v>
      </c>
      <c r="C6" s="103">
        <v>24</v>
      </c>
      <c r="D6" s="107">
        <v>22.476433333333329</v>
      </c>
      <c r="E6" s="67">
        <v>20.622666666666667</v>
      </c>
      <c r="F6" s="103">
        <v>427.78999999999991</v>
      </c>
      <c r="G6" s="67">
        <v>395.22</v>
      </c>
      <c r="H6" s="109">
        <v>-32.569999999999986</v>
      </c>
      <c r="I6" s="68">
        <v>-7.6135487038032662E-2</v>
      </c>
      <c r="J6" s="68">
        <v>4.7438000000000003E-3</v>
      </c>
      <c r="O6" s="103"/>
      <c r="P6" s="103"/>
      <c r="Q6" s="103"/>
      <c r="R6" s="101"/>
      <c r="T6" s="101"/>
    </row>
    <row r="7" spans="2:20" x14ac:dyDescent="0.2">
      <c r="B7" s="13" t="s">
        <v>11</v>
      </c>
      <c r="C7" s="102">
        <v>4</v>
      </c>
      <c r="D7" s="106">
        <v>19.0425</v>
      </c>
      <c r="E7" s="66">
        <v>17.760000000000002</v>
      </c>
      <c r="F7" s="102">
        <v>76.17</v>
      </c>
      <c r="G7" s="66">
        <v>71.040000000000006</v>
      </c>
      <c r="H7" s="108">
        <v>-5.1299999999999955</v>
      </c>
      <c r="I7" s="65">
        <v>-6.7349350137849484E-2</v>
      </c>
      <c r="J7" s="65">
        <v>1.66E-2</v>
      </c>
      <c r="O7" s="102"/>
      <c r="P7" s="102"/>
      <c r="Q7" s="102"/>
      <c r="R7" s="101"/>
      <c r="T7" s="101"/>
    </row>
    <row r="8" spans="2:20" x14ac:dyDescent="0.2">
      <c r="B8" s="13" t="s">
        <v>22</v>
      </c>
      <c r="C8" s="102">
        <v>1</v>
      </c>
      <c r="D8" s="106">
        <v>41.77</v>
      </c>
      <c r="E8" s="66">
        <v>43.52</v>
      </c>
      <c r="F8" s="102">
        <v>41.77</v>
      </c>
      <c r="G8" s="66">
        <v>43.52</v>
      </c>
      <c r="H8" s="108">
        <v>1.75</v>
      </c>
      <c r="I8" s="65">
        <v>4.1896097677759155E-2</v>
      </c>
      <c r="J8" s="65">
        <v>8.8090000000000009E-3</v>
      </c>
      <c r="O8" s="102"/>
      <c r="P8" s="102"/>
      <c r="Q8" s="102"/>
      <c r="R8" s="101"/>
      <c r="T8" s="101"/>
    </row>
    <row r="9" spans="2:20" x14ac:dyDescent="0.2">
      <c r="B9" s="13" t="s">
        <v>23</v>
      </c>
      <c r="C9" s="102">
        <v>3</v>
      </c>
      <c r="D9" s="106">
        <v>40.853333333333332</v>
      </c>
      <c r="E9" s="66">
        <v>35.54</v>
      </c>
      <c r="F9" s="102">
        <v>122.56</v>
      </c>
      <c r="G9" s="66">
        <v>106.62</v>
      </c>
      <c r="H9" s="108">
        <v>-15.939999999999998</v>
      </c>
      <c r="I9" s="65">
        <v>-0.13005874673629242</v>
      </c>
      <c r="J9" s="65">
        <v>2.0091999999999999E-2</v>
      </c>
      <c r="O9" s="102"/>
      <c r="P9" s="102"/>
      <c r="Q9" s="102"/>
      <c r="R9" s="101"/>
      <c r="T9" s="101"/>
    </row>
    <row r="10" spans="2:20" x14ac:dyDescent="0.2">
      <c r="B10" s="13" t="s">
        <v>12</v>
      </c>
      <c r="C10" s="102">
        <v>4</v>
      </c>
      <c r="D10" s="106">
        <v>13.9275</v>
      </c>
      <c r="E10" s="66">
        <v>13.9</v>
      </c>
      <c r="F10" s="102">
        <v>55.71</v>
      </c>
      <c r="G10" s="66">
        <v>55.6</v>
      </c>
      <c r="H10" s="108">
        <v>-0.10999999999999588</v>
      </c>
      <c r="I10" s="65">
        <v>-1.9745108598097187E-3</v>
      </c>
      <c r="J10" s="65">
        <v>-1.4184E-2</v>
      </c>
      <c r="O10" s="102"/>
      <c r="P10" s="102"/>
      <c r="Q10" s="102"/>
      <c r="R10" s="101"/>
      <c r="T10" s="101"/>
    </row>
    <row r="11" spans="2:20" x14ac:dyDescent="0.2">
      <c r="B11" s="13" t="s">
        <v>24</v>
      </c>
      <c r="C11" s="102">
        <v>10</v>
      </c>
      <c r="D11" s="106">
        <v>7.2909999999999995</v>
      </c>
      <c r="E11" s="66">
        <v>6.72</v>
      </c>
      <c r="F11" s="102">
        <v>72.91</v>
      </c>
      <c r="G11" s="66">
        <v>67.2</v>
      </c>
      <c r="H11" s="108">
        <v>-5.7099999999999955</v>
      </c>
      <c r="I11" s="65">
        <v>-7.8315731724043436E-2</v>
      </c>
      <c r="J11" s="65">
        <v>-1.1765000000000001E-2</v>
      </c>
      <c r="O11" s="102"/>
      <c r="P11" s="102"/>
      <c r="Q11" s="102"/>
      <c r="R11" s="101"/>
      <c r="T11" s="101"/>
    </row>
    <row r="12" spans="2:20" x14ac:dyDescent="0.2">
      <c r="B12" s="13" t="s">
        <v>25</v>
      </c>
      <c r="C12" s="102">
        <v>2</v>
      </c>
      <c r="D12" s="106">
        <v>29.335000000000001</v>
      </c>
      <c r="E12" s="66">
        <v>25.62</v>
      </c>
      <c r="F12" s="102">
        <v>58.67</v>
      </c>
      <c r="G12" s="66">
        <v>51.24</v>
      </c>
      <c r="H12" s="108">
        <v>-7.43</v>
      </c>
      <c r="I12" s="65">
        <v>-0.12664053178796658</v>
      </c>
      <c r="J12" s="65">
        <v>1.3849999999999999E-2</v>
      </c>
      <c r="O12" s="102"/>
      <c r="P12" s="102"/>
      <c r="Q12" s="102"/>
      <c r="R12" s="101"/>
      <c r="T12" s="101"/>
    </row>
    <row r="13" spans="2:20" x14ac:dyDescent="0.2">
      <c r="B13" s="69" t="s">
        <v>5</v>
      </c>
      <c r="C13" s="103">
        <v>33</v>
      </c>
      <c r="D13" s="107" t="e">
        <v>#DIV/0!</v>
      </c>
      <c r="E13" s="67">
        <v>43.252380952380953</v>
      </c>
      <c r="F13" s="103" t="e">
        <v>#DIV/0!</v>
      </c>
      <c r="G13" s="67">
        <v>367.67</v>
      </c>
      <c r="H13" s="109">
        <v>-4.3400000000000194</v>
      </c>
      <c r="I13" s="68">
        <v>-1.1666353055025336E-2</v>
      </c>
      <c r="J13" s="68">
        <v>-1.5502333333333335E-2</v>
      </c>
      <c r="O13" s="103"/>
      <c r="P13" s="103"/>
      <c r="Q13" s="103"/>
      <c r="R13" s="101"/>
      <c r="T13" s="101"/>
    </row>
    <row r="14" spans="2:20" x14ac:dyDescent="0.2">
      <c r="B14" s="13" t="s">
        <v>9</v>
      </c>
      <c r="C14" s="102">
        <v>10</v>
      </c>
      <c r="D14" s="106">
        <v>8.472999999999999</v>
      </c>
      <c r="E14" s="66">
        <v>8.35</v>
      </c>
      <c r="F14" s="102">
        <v>84.72999999999999</v>
      </c>
      <c r="G14" s="66">
        <v>83.5</v>
      </c>
      <c r="H14" s="108">
        <v>-1.2299999999999915</v>
      </c>
      <c r="I14" s="65">
        <v>-1.4516700106219638E-2</v>
      </c>
      <c r="J14" s="65">
        <v>-4.4622000000000002E-2</v>
      </c>
      <c r="O14" s="102"/>
      <c r="P14" s="102"/>
      <c r="Q14" s="102"/>
      <c r="R14" s="101"/>
      <c r="T14" s="101"/>
    </row>
    <row r="15" spans="2:20" x14ac:dyDescent="0.2">
      <c r="B15" s="13" t="s">
        <v>8</v>
      </c>
      <c r="C15" s="102">
        <v>8</v>
      </c>
      <c r="D15" s="106">
        <v>8.98</v>
      </c>
      <c r="E15" s="66">
        <v>8.91</v>
      </c>
      <c r="F15" s="102">
        <v>71.84</v>
      </c>
      <c r="G15" s="66">
        <v>71.28</v>
      </c>
      <c r="H15" s="108">
        <v>-0.56000000000000227</v>
      </c>
      <c r="I15" s="65">
        <v>-7.7951002227171808E-3</v>
      </c>
      <c r="J15" s="65">
        <v>-7.7949999999999998E-3</v>
      </c>
      <c r="O15" s="102"/>
      <c r="P15" s="102"/>
      <c r="Q15" s="102"/>
      <c r="R15" s="101"/>
      <c r="T15" s="101"/>
    </row>
    <row r="16" spans="2:20" x14ac:dyDescent="0.2">
      <c r="B16" s="13" t="s">
        <v>7</v>
      </c>
      <c r="C16" s="102">
        <v>14</v>
      </c>
      <c r="D16" s="106">
        <v>9.1778571428571443</v>
      </c>
      <c r="E16" s="66">
        <v>9.01</v>
      </c>
      <c r="F16" s="102">
        <v>128.49</v>
      </c>
      <c r="G16" s="66">
        <v>126.13999999999999</v>
      </c>
      <c r="H16" s="108">
        <v>-2.3500000000000227</v>
      </c>
      <c r="I16" s="65">
        <v>-1.8289361039769806E-2</v>
      </c>
      <c r="J16" s="65">
        <v>-1.0976999999999999E-2</v>
      </c>
      <c r="O16" s="102"/>
      <c r="P16" s="102"/>
      <c r="Q16" s="102"/>
      <c r="R16" s="101"/>
      <c r="T16" s="101"/>
    </row>
    <row r="17" spans="2:20" x14ac:dyDescent="0.2">
      <c r="B17" s="100" t="s">
        <v>134</v>
      </c>
      <c r="C17" s="102"/>
      <c r="D17" s="106" t="e">
        <v>#DIV/0!</v>
      </c>
      <c r="E17" s="66">
        <v>92.32</v>
      </c>
      <c r="F17" s="102" t="e">
        <v>#DIV/0!</v>
      </c>
      <c r="G17" s="66">
        <v>0</v>
      </c>
      <c r="H17" s="108">
        <v>0</v>
      </c>
      <c r="I17" s="65" t="e">
        <v>#DIV/0!</v>
      </c>
      <c r="J17" s="65">
        <v>-8.5909999999999997E-3</v>
      </c>
      <c r="O17" s="102"/>
      <c r="P17" s="102"/>
      <c r="Q17" s="102"/>
      <c r="R17" s="101"/>
      <c r="T17" s="101"/>
    </row>
    <row r="18" spans="2:20" x14ac:dyDescent="0.2">
      <c r="B18" s="100" t="s">
        <v>135</v>
      </c>
      <c r="C18" s="102"/>
      <c r="D18" s="106" t="e">
        <v>#DIV/0!</v>
      </c>
      <c r="E18" s="66">
        <v>149.68</v>
      </c>
      <c r="F18" s="102" t="e">
        <v>#DIV/0!</v>
      </c>
      <c r="G18" s="66">
        <v>0</v>
      </c>
      <c r="H18" s="108">
        <v>0</v>
      </c>
      <c r="I18" s="65" t="e">
        <v>#DIV/0!</v>
      </c>
      <c r="J18" s="65">
        <v>-1.3316E-2</v>
      </c>
      <c r="O18" s="102"/>
      <c r="P18" s="102"/>
      <c r="Q18" s="102"/>
      <c r="R18" s="101"/>
      <c r="T18" s="101"/>
    </row>
    <row r="19" spans="2:20" x14ac:dyDescent="0.2">
      <c r="B19" s="100" t="s">
        <v>136</v>
      </c>
      <c r="C19" s="102"/>
      <c r="D19" s="106" t="e">
        <v>#DIV/0!</v>
      </c>
      <c r="E19" s="66">
        <v>152.63999999999999</v>
      </c>
      <c r="F19" s="102" t="e">
        <v>#DIV/0!</v>
      </c>
      <c r="G19" s="66">
        <v>0</v>
      </c>
      <c r="H19" s="108">
        <v>0</v>
      </c>
      <c r="I19" s="65" t="e">
        <v>#DIV/0!</v>
      </c>
      <c r="J19" s="65">
        <v>-5.2790000000000007E-3</v>
      </c>
      <c r="O19" s="102"/>
      <c r="P19" s="102"/>
      <c r="Q19" s="102"/>
      <c r="R19" s="101"/>
      <c r="T19" s="101"/>
    </row>
    <row r="20" spans="2:20" x14ac:dyDescent="0.2">
      <c r="B20" s="100" t="s">
        <v>137</v>
      </c>
      <c r="C20" s="102"/>
      <c r="D20" s="106" t="e">
        <v>#DIV/0!</v>
      </c>
      <c r="E20" s="66">
        <v>98.99</v>
      </c>
      <c r="F20" s="102" t="e">
        <v>#DIV/0!</v>
      </c>
      <c r="G20" s="66">
        <v>0</v>
      </c>
      <c r="H20" s="108">
        <v>0</v>
      </c>
      <c r="I20" s="65" t="e">
        <v>#DIV/0!</v>
      </c>
      <c r="J20" s="65">
        <v>-1.1583000000000001E-2</v>
      </c>
      <c r="O20" s="102"/>
      <c r="P20" s="102"/>
      <c r="Q20" s="102"/>
      <c r="R20" s="101"/>
      <c r="T20" s="101"/>
    </row>
    <row r="21" spans="2:20" x14ac:dyDescent="0.2">
      <c r="B21" s="100" t="s">
        <v>138</v>
      </c>
      <c r="C21" s="102"/>
      <c r="D21" s="106" t="e">
        <v>#DIV/0!</v>
      </c>
      <c r="E21" s="66">
        <v>99.91</v>
      </c>
      <c r="F21" s="102" t="e">
        <v>#DIV/0!</v>
      </c>
      <c r="G21" s="66">
        <v>0</v>
      </c>
      <c r="H21" s="108">
        <v>0</v>
      </c>
      <c r="I21" s="65" t="e">
        <v>#DIV/0!</v>
      </c>
      <c r="J21" s="65">
        <v>-2.8939999999999999E-3</v>
      </c>
      <c r="O21" s="102"/>
      <c r="P21" s="102"/>
      <c r="Q21" s="102"/>
      <c r="R21" s="101"/>
      <c r="T21" s="101"/>
    </row>
    <row r="22" spans="2:20" x14ac:dyDescent="0.2">
      <c r="B22" s="100" t="s">
        <v>139</v>
      </c>
      <c r="C22" s="102">
        <v>1</v>
      </c>
      <c r="D22" s="106">
        <v>86.95</v>
      </c>
      <c r="E22" s="66">
        <v>86.75</v>
      </c>
      <c r="F22" s="102">
        <v>86.95</v>
      </c>
      <c r="G22" s="66">
        <v>86.75</v>
      </c>
      <c r="H22" s="108">
        <v>-0.20000000000000284</v>
      </c>
      <c r="I22" s="65">
        <v>-2.3001725129385029E-3</v>
      </c>
      <c r="J22" s="65">
        <v>-1.4205000000000001E-2</v>
      </c>
      <c r="O22" s="102"/>
      <c r="P22" s="102"/>
      <c r="Q22" s="102"/>
      <c r="R22" s="101"/>
      <c r="T22" s="101"/>
    </row>
    <row r="23" spans="2:20" x14ac:dyDescent="0.2">
      <c r="B23" s="100" t="s">
        <v>140</v>
      </c>
      <c r="C23" s="102"/>
      <c r="D23" s="106" t="e">
        <v>#DIV/0!</v>
      </c>
      <c r="E23" s="66">
        <v>104.91</v>
      </c>
      <c r="F23" s="102" t="e">
        <v>#DIV/0!</v>
      </c>
      <c r="G23" s="66">
        <v>0</v>
      </c>
      <c r="H23" s="108">
        <v>0</v>
      </c>
      <c r="I23" s="65" t="e">
        <v>#DIV/0!</v>
      </c>
      <c r="J23" s="65">
        <v>5.849E-3</v>
      </c>
      <c r="O23" s="102"/>
      <c r="P23" s="102"/>
      <c r="Q23" s="102"/>
      <c r="R23" s="101"/>
      <c r="T23" s="101"/>
    </row>
    <row r="24" spans="2:20" x14ac:dyDescent="0.2">
      <c r="B24" s="13" t="s">
        <v>38</v>
      </c>
      <c r="C24" s="102">
        <v>57</v>
      </c>
      <c r="D24" s="106" t="e">
        <v>#DIV/0!</v>
      </c>
      <c r="E24" s="66">
        <v>33.823333333333345</v>
      </c>
      <c r="F24" s="102" t="e">
        <v>#DIV/0!</v>
      </c>
      <c r="G24" s="66">
        <v>762.89</v>
      </c>
      <c r="H24" s="108">
        <v>-36.909999999999997</v>
      </c>
      <c r="I24" s="65">
        <v>-4.6149037259315198E-2</v>
      </c>
      <c r="J24" s="65">
        <v>-7.0664444444444429E-3</v>
      </c>
      <c r="O24" s="102"/>
      <c r="P24" s="102"/>
      <c r="Q24" s="102"/>
      <c r="R24" s="101"/>
      <c r="T24" s="101"/>
    </row>
    <row r="25" spans="2:20" x14ac:dyDescent="0.2">
      <c r="B25"/>
      <c r="C25"/>
      <c r="D25"/>
      <c r="E25"/>
      <c r="F25"/>
      <c r="G25"/>
      <c r="H25"/>
      <c r="I25"/>
      <c r="J25"/>
    </row>
    <row r="26" spans="2:20" x14ac:dyDescent="0.2">
      <c r="B26"/>
      <c r="C26"/>
      <c r="D26"/>
      <c r="E26"/>
      <c r="F26"/>
      <c r="G26"/>
      <c r="H26"/>
      <c r="I26"/>
      <c r="J26"/>
    </row>
    <row r="27" spans="2:20" x14ac:dyDescent="0.2">
      <c r="B27"/>
      <c r="C27"/>
      <c r="D27"/>
      <c r="E27"/>
      <c r="F27"/>
      <c r="G27"/>
      <c r="H27"/>
      <c r="I27"/>
      <c r="J27"/>
    </row>
    <row r="28" spans="2:20" x14ac:dyDescent="0.2">
      <c r="B28"/>
      <c r="C28"/>
      <c r="D28"/>
      <c r="E28"/>
      <c r="F28"/>
      <c r="G28"/>
      <c r="H28"/>
      <c r="I28"/>
      <c r="J28"/>
    </row>
    <row r="29" spans="2:20" x14ac:dyDescent="0.2">
      <c r="B29"/>
      <c r="C29"/>
      <c r="D29"/>
      <c r="E29"/>
      <c r="F29"/>
      <c r="G29"/>
      <c r="H29"/>
      <c r="I29"/>
      <c r="J29"/>
    </row>
    <row r="30" spans="2:20" x14ac:dyDescent="0.2">
      <c r="B30"/>
      <c r="C30"/>
      <c r="D30"/>
      <c r="E30"/>
      <c r="F30"/>
      <c r="G30"/>
      <c r="H30"/>
      <c r="I30"/>
      <c r="J30"/>
    </row>
    <row r="31" spans="2:20" x14ac:dyDescent="0.2">
      <c r="B31"/>
      <c r="C31"/>
      <c r="D31"/>
      <c r="E31"/>
      <c r="F31"/>
      <c r="G31"/>
      <c r="H31"/>
      <c r="I31"/>
      <c r="J31"/>
    </row>
    <row r="32" spans="2:20" x14ac:dyDescent="0.2">
      <c r="B32"/>
      <c r="C32"/>
      <c r="D32"/>
      <c r="E32"/>
      <c r="F32"/>
      <c r="G32"/>
      <c r="H32"/>
      <c r="I32"/>
      <c r="J32"/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</sheetData>
  <conditionalFormatting pivot="1" sqref="I6:I24">
    <cfRule type="cellIs" dxfId="104" priority="12" operator="greaterThan">
      <formula>0</formula>
    </cfRule>
  </conditionalFormatting>
  <conditionalFormatting pivot="1" sqref="I6:I24">
    <cfRule type="cellIs" dxfId="103" priority="11" operator="lessThan">
      <formula>0</formula>
    </cfRule>
  </conditionalFormatting>
  <conditionalFormatting pivot="1" sqref="J6:J24">
    <cfRule type="cellIs" dxfId="102" priority="10" operator="greaterThan">
      <formula>0</formula>
    </cfRule>
  </conditionalFormatting>
  <conditionalFormatting pivot="1" sqref="J6:J24">
    <cfRule type="cellIs" dxfId="101" priority="9" operator="lessThan">
      <formula>0</formula>
    </cfRule>
  </conditionalFormatting>
  <conditionalFormatting pivot="1" sqref="H6:H24">
    <cfRule type="cellIs" dxfId="100" priority="2" operator="greaterThan">
      <formula>0</formula>
    </cfRule>
  </conditionalFormatting>
  <conditionalFormatting pivot="1" sqref="H6:H24">
    <cfRule type="cellIs" dxfId="99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7CF7-A388-45BE-B453-C5CB04E81680}">
  <dimension ref="A3:F48"/>
  <sheetViews>
    <sheetView workbookViewId="0">
      <selection activeCell="F41" sqref="F41"/>
    </sheetView>
  </sheetViews>
  <sheetFormatPr defaultRowHeight="12.75" x14ac:dyDescent="0.2"/>
  <cols>
    <col min="1" max="1" width="21.140625" bestFit="1" customWidth="1"/>
    <col min="2" max="2" width="18.28515625" bestFit="1" customWidth="1"/>
    <col min="3" max="3" width="13.28515625" bestFit="1" customWidth="1"/>
    <col min="4" max="5" width="13.85546875" bestFit="1" customWidth="1"/>
    <col min="6" max="6" width="13.85546875" style="82" bestFit="1" customWidth="1"/>
    <col min="7" max="7" width="12.7109375" bestFit="1" customWidth="1"/>
  </cols>
  <sheetData>
    <row r="3" spans="1:6" x14ac:dyDescent="0.2">
      <c r="A3" s="77" t="s">
        <v>112</v>
      </c>
      <c r="B3" s="77" t="s">
        <v>111</v>
      </c>
      <c r="C3" s="77"/>
      <c r="D3" s="77"/>
      <c r="E3" s="77"/>
      <c r="F3" s="89"/>
    </row>
    <row r="4" spans="1:6" x14ac:dyDescent="0.2">
      <c r="A4" s="77" t="s">
        <v>108</v>
      </c>
      <c r="B4" s="78" t="s">
        <v>72</v>
      </c>
      <c r="C4" s="78" t="s">
        <v>77</v>
      </c>
      <c r="D4" s="78" t="s">
        <v>39</v>
      </c>
      <c r="E4" s="88" t="s">
        <v>119</v>
      </c>
      <c r="F4" s="90" t="s">
        <v>1</v>
      </c>
    </row>
    <row r="5" spans="1:6" x14ac:dyDescent="0.2">
      <c r="A5" s="73">
        <v>2026</v>
      </c>
      <c r="B5" s="91">
        <v>32230</v>
      </c>
      <c r="C5" s="91">
        <v>12672.39272</v>
      </c>
      <c r="D5" s="91">
        <v>4799.8</v>
      </c>
      <c r="E5" s="85">
        <f>B5-C5</f>
        <v>19557.60728</v>
      </c>
      <c r="F5" s="79">
        <f>(1-(C5/B5))</f>
        <v>0.60681375364567169</v>
      </c>
    </row>
    <row r="6" spans="1:6" x14ac:dyDescent="0.2">
      <c r="A6" s="76" t="s">
        <v>128</v>
      </c>
      <c r="B6" s="91"/>
      <c r="C6" s="91"/>
      <c r="D6" s="91">
        <v>799.80000000000018</v>
      </c>
      <c r="E6" s="86"/>
      <c r="F6" s="80"/>
    </row>
    <row r="7" spans="1:6" x14ac:dyDescent="0.2">
      <c r="A7" s="76" t="s">
        <v>109</v>
      </c>
      <c r="B7" s="91">
        <v>18820</v>
      </c>
      <c r="C7" s="91">
        <v>6834.2083600000005</v>
      </c>
      <c r="D7" s="91">
        <v>2000</v>
      </c>
      <c r="E7" s="86">
        <f t="shared" ref="E7:E48" si="0">B7-C7</f>
        <v>11985.791639999999</v>
      </c>
      <c r="F7" s="80">
        <f t="shared" ref="F7:F48" si="1">(1-(C7/B7))</f>
        <v>0.63686459298618492</v>
      </c>
    </row>
    <row r="8" spans="1:6" x14ac:dyDescent="0.2">
      <c r="A8" s="76" t="s">
        <v>110</v>
      </c>
      <c r="B8" s="91">
        <v>13410</v>
      </c>
      <c r="C8" s="91">
        <v>5838.1843600000002</v>
      </c>
      <c r="D8" s="91">
        <v>2000</v>
      </c>
      <c r="E8" s="86">
        <f t="shared" si="0"/>
        <v>7571.8156399999998</v>
      </c>
      <c r="F8" s="80">
        <f t="shared" si="1"/>
        <v>0.5646394958985832</v>
      </c>
    </row>
    <row r="9" spans="1:6" x14ac:dyDescent="0.2">
      <c r="A9" s="73">
        <v>2027</v>
      </c>
      <c r="B9" s="91">
        <v>106310</v>
      </c>
      <c r="C9" s="91">
        <v>46468.516199999984</v>
      </c>
      <c r="D9" s="91">
        <v>34000</v>
      </c>
      <c r="E9" s="85">
        <f t="shared" si="0"/>
        <v>59841.483800000016</v>
      </c>
      <c r="F9" s="79">
        <f t="shared" si="1"/>
        <v>0.56289609444078659</v>
      </c>
    </row>
    <row r="10" spans="1:6" x14ac:dyDescent="0.2">
      <c r="A10" s="76" t="s">
        <v>113</v>
      </c>
      <c r="B10" s="91">
        <v>13410</v>
      </c>
      <c r="C10" s="91">
        <v>4678.6835199999996</v>
      </c>
      <c r="D10" s="91">
        <v>2500</v>
      </c>
      <c r="E10" s="86">
        <f t="shared" si="0"/>
        <v>8731.3164800000013</v>
      </c>
      <c r="F10" s="80">
        <f t="shared" si="1"/>
        <v>0.65110488292319169</v>
      </c>
    </row>
    <row r="11" spans="1:6" x14ac:dyDescent="0.2">
      <c r="A11" s="76" t="s">
        <v>120</v>
      </c>
      <c r="B11" s="91">
        <v>8700</v>
      </c>
      <c r="C11" s="91">
        <v>3457.6940999999997</v>
      </c>
      <c r="D11" s="91">
        <v>2500</v>
      </c>
      <c r="E11" s="86">
        <f t="shared" si="0"/>
        <v>5242.3059000000003</v>
      </c>
      <c r="F11" s="80">
        <f t="shared" si="1"/>
        <v>0.60256389655172415</v>
      </c>
    </row>
    <row r="12" spans="1:6" x14ac:dyDescent="0.2">
      <c r="A12" s="76" t="s">
        <v>121</v>
      </c>
      <c r="B12" s="91">
        <v>8700</v>
      </c>
      <c r="C12" s="91">
        <v>3523.2150599999995</v>
      </c>
      <c r="D12" s="91">
        <v>2500</v>
      </c>
      <c r="E12" s="86">
        <f t="shared" si="0"/>
        <v>5176.7849400000005</v>
      </c>
      <c r="F12" s="80">
        <f t="shared" si="1"/>
        <v>0.59503275172413805</v>
      </c>
    </row>
    <row r="13" spans="1:6" x14ac:dyDescent="0.2">
      <c r="A13" s="76" t="s">
        <v>122</v>
      </c>
      <c r="B13" s="91">
        <v>8700</v>
      </c>
      <c r="C13" s="91">
        <v>3586.2248</v>
      </c>
      <c r="D13" s="91">
        <v>2500</v>
      </c>
      <c r="E13" s="86">
        <f t="shared" si="0"/>
        <v>5113.7752</v>
      </c>
      <c r="F13" s="80">
        <f t="shared" si="1"/>
        <v>0.58779025287356323</v>
      </c>
    </row>
    <row r="14" spans="1:6" x14ac:dyDescent="0.2">
      <c r="A14" s="76" t="s">
        <v>123</v>
      </c>
      <c r="B14" s="91">
        <v>8700</v>
      </c>
      <c r="C14" s="91">
        <v>3649.2241199999999</v>
      </c>
      <c r="D14" s="91">
        <v>2500</v>
      </c>
      <c r="E14" s="86">
        <f t="shared" si="0"/>
        <v>5050.7758800000001</v>
      </c>
      <c r="F14" s="80">
        <f t="shared" si="1"/>
        <v>0.58054895172413801</v>
      </c>
    </row>
    <row r="15" spans="1:6" x14ac:dyDescent="0.2">
      <c r="A15" s="76" t="s">
        <v>124</v>
      </c>
      <c r="B15" s="91">
        <v>8700</v>
      </c>
      <c r="C15" s="91">
        <v>3703.82492</v>
      </c>
      <c r="D15" s="91">
        <v>2500</v>
      </c>
      <c r="E15" s="86">
        <f t="shared" si="0"/>
        <v>4996.17508</v>
      </c>
      <c r="F15" s="80">
        <f t="shared" si="1"/>
        <v>0.57427299770114937</v>
      </c>
    </row>
    <row r="16" spans="1:6" x14ac:dyDescent="0.2">
      <c r="A16" s="76" t="s">
        <v>125</v>
      </c>
      <c r="B16" s="91">
        <v>8700</v>
      </c>
      <c r="C16" s="91">
        <v>3758.4361399999998</v>
      </c>
      <c r="D16" s="91">
        <v>2500</v>
      </c>
      <c r="E16" s="86">
        <f t="shared" si="0"/>
        <v>4941.5638600000002</v>
      </c>
      <c r="F16" s="80">
        <f t="shared" si="1"/>
        <v>0.56799584597701158</v>
      </c>
    </row>
    <row r="17" spans="1:6" x14ac:dyDescent="0.2">
      <c r="A17" s="76" t="s">
        <v>126</v>
      </c>
      <c r="B17" s="91">
        <v>8700</v>
      </c>
      <c r="C17" s="91">
        <v>3313.03694</v>
      </c>
      <c r="D17" s="91">
        <v>2500</v>
      </c>
      <c r="E17" s="86">
        <f t="shared" si="0"/>
        <v>5386.96306</v>
      </c>
      <c r="F17" s="80">
        <f t="shared" si="1"/>
        <v>0.61919115632183908</v>
      </c>
    </row>
    <row r="18" spans="1:6" x14ac:dyDescent="0.2">
      <c r="A18" s="76" t="s">
        <v>127</v>
      </c>
      <c r="B18" s="91">
        <v>8000</v>
      </c>
      <c r="C18" s="91">
        <v>4367.6377400000001</v>
      </c>
      <c r="D18" s="91">
        <v>3500</v>
      </c>
      <c r="E18" s="86">
        <f t="shared" si="0"/>
        <v>3632.3622599999999</v>
      </c>
      <c r="F18" s="80">
        <f t="shared" si="1"/>
        <v>0.45404528249999998</v>
      </c>
    </row>
    <row r="19" spans="1:6" x14ac:dyDescent="0.2">
      <c r="A19" s="76" t="s">
        <v>128</v>
      </c>
      <c r="B19" s="92">
        <v>8000</v>
      </c>
      <c r="C19" s="91">
        <v>3422.2385399999998</v>
      </c>
      <c r="D19" s="91">
        <v>3500</v>
      </c>
      <c r="E19" s="86">
        <f t="shared" si="0"/>
        <v>4577.7614599999997</v>
      </c>
      <c r="F19" s="80">
        <f t="shared" si="1"/>
        <v>0.57222018249999995</v>
      </c>
    </row>
    <row r="20" spans="1:6" x14ac:dyDescent="0.2">
      <c r="A20" s="76" t="s">
        <v>109</v>
      </c>
      <c r="B20" s="91">
        <v>8000</v>
      </c>
      <c r="C20" s="91">
        <v>4476.8497600000001</v>
      </c>
      <c r="D20" s="91">
        <v>3500</v>
      </c>
      <c r="E20" s="86">
        <f t="shared" si="0"/>
        <v>3523.1502399999999</v>
      </c>
      <c r="F20" s="80">
        <f t="shared" si="1"/>
        <v>0.44039377999999996</v>
      </c>
    </row>
    <row r="21" spans="1:6" x14ac:dyDescent="0.2">
      <c r="A21" s="76" t="s">
        <v>110</v>
      </c>
      <c r="B21" s="91">
        <v>8000</v>
      </c>
      <c r="C21" s="91">
        <v>4531.4505600000002</v>
      </c>
      <c r="D21" s="91">
        <v>3500</v>
      </c>
      <c r="E21" s="86">
        <f t="shared" si="0"/>
        <v>3468.5494399999998</v>
      </c>
      <c r="F21" s="80">
        <f t="shared" si="1"/>
        <v>0.43356867999999993</v>
      </c>
    </row>
    <row r="22" spans="1:6" x14ac:dyDescent="0.2">
      <c r="A22" s="73">
        <v>2028</v>
      </c>
      <c r="B22" s="91">
        <v>96000</v>
      </c>
      <c r="C22" s="91">
        <v>25846.937480000001</v>
      </c>
      <c r="D22" s="91">
        <v>46000</v>
      </c>
      <c r="E22" s="85">
        <f t="shared" si="0"/>
        <v>70153.062520000007</v>
      </c>
      <c r="F22" s="79">
        <f t="shared" si="1"/>
        <v>0.73076106791666673</v>
      </c>
    </row>
    <row r="23" spans="1:6" x14ac:dyDescent="0.2">
      <c r="A23" s="76" t="s">
        <v>113</v>
      </c>
      <c r="B23" s="91">
        <v>8000</v>
      </c>
      <c r="C23" s="91">
        <v>1869.9521000000002</v>
      </c>
      <c r="D23" s="91">
        <v>4000</v>
      </c>
      <c r="E23" s="86">
        <f t="shared" si="0"/>
        <v>6130.0478999999996</v>
      </c>
      <c r="F23" s="80">
        <f t="shared" si="1"/>
        <v>0.76625598750000001</v>
      </c>
    </row>
    <row r="24" spans="1:6" x14ac:dyDescent="0.2">
      <c r="A24" s="76" t="s">
        <v>120</v>
      </c>
      <c r="B24" s="91">
        <v>8000</v>
      </c>
      <c r="C24" s="91">
        <v>1920.3536400000003</v>
      </c>
      <c r="D24" s="91">
        <v>4000</v>
      </c>
      <c r="E24" s="86">
        <f t="shared" si="0"/>
        <v>6079.6463599999997</v>
      </c>
      <c r="F24" s="80">
        <f t="shared" si="1"/>
        <v>0.75995579499999999</v>
      </c>
    </row>
    <row r="25" spans="1:6" x14ac:dyDescent="0.2">
      <c r="A25" s="76" t="s">
        <v>121</v>
      </c>
      <c r="B25" s="91">
        <v>8000</v>
      </c>
      <c r="C25" s="91">
        <v>1968.2439600000002</v>
      </c>
      <c r="D25" s="91">
        <v>4000</v>
      </c>
      <c r="E25" s="86">
        <f t="shared" si="0"/>
        <v>6031.7560400000002</v>
      </c>
      <c r="F25" s="80">
        <f t="shared" si="1"/>
        <v>0.75396950499999993</v>
      </c>
    </row>
    <row r="26" spans="1:6" x14ac:dyDescent="0.2">
      <c r="A26" s="76" t="s">
        <v>122</v>
      </c>
      <c r="B26" s="91">
        <v>8000</v>
      </c>
      <c r="C26" s="91">
        <v>2015.2798400000001</v>
      </c>
      <c r="D26" s="91">
        <v>4000</v>
      </c>
      <c r="E26" s="86">
        <f t="shared" si="0"/>
        <v>5984.7201599999999</v>
      </c>
      <c r="F26" s="80">
        <f t="shared" si="1"/>
        <v>0.74809002000000002</v>
      </c>
    </row>
    <row r="27" spans="1:6" x14ac:dyDescent="0.2">
      <c r="A27" s="76" t="s">
        <v>123</v>
      </c>
      <c r="B27" s="91">
        <v>8000</v>
      </c>
      <c r="C27" s="91">
        <v>2040.4858200000003</v>
      </c>
      <c r="D27" s="91">
        <v>4000</v>
      </c>
      <c r="E27" s="86">
        <f t="shared" si="0"/>
        <v>5959.5141800000001</v>
      </c>
      <c r="F27" s="80">
        <f t="shared" si="1"/>
        <v>0.74493927249999992</v>
      </c>
    </row>
    <row r="28" spans="1:6" x14ac:dyDescent="0.2">
      <c r="A28" s="76" t="s">
        <v>124</v>
      </c>
      <c r="B28" s="91">
        <v>8000</v>
      </c>
      <c r="C28" s="91">
        <v>2065.68138</v>
      </c>
      <c r="D28" s="91">
        <v>4000</v>
      </c>
      <c r="E28" s="86">
        <f t="shared" si="0"/>
        <v>5934.31862</v>
      </c>
      <c r="F28" s="80">
        <f t="shared" si="1"/>
        <v>0.7417898275</v>
      </c>
    </row>
    <row r="29" spans="1:6" x14ac:dyDescent="0.2">
      <c r="A29" s="76" t="s">
        <v>125</v>
      </c>
      <c r="B29" s="91">
        <v>8000</v>
      </c>
      <c r="C29" s="91">
        <v>2090.8873600000002</v>
      </c>
      <c r="D29" s="91">
        <v>4000</v>
      </c>
      <c r="E29" s="86">
        <f t="shared" si="0"/>
        <v>5909.1126399999994</v>
      </c>
      <c r="F29" s="80">
        <f t="shared" si="1"/>
        <v>0.73863908</v>
      </c>
    </row>
    <row r="30" spans="1:6" x14ac:dyDescent="0.2">
      <c r="A30" s="76" t="s">
        <v>126</v>
      </c>
      <c r="B30" s="91">
        <v>8000</v>
      </c>
      <c r="C30" s="91">
        <v>2110.8873600000002</v>
      </c>
      <c r="D30" s="91">
        <v>4000</v>
      </c>
      <c r="E30" s="86">
        <f t="shared" si="0"/>
        <v>5889.1126399999994</v>
      </c>
      <c r="F30" s="80">
        <f t="shared" si="1"/>
        <v>0.73613908000000006</v>
      </c>
    </row>
    <row r="31" spans="1:6" x14ac:dyDescent="0.2">
      <c r="A31" s="76" t="s">
        <v>127</v>
      </c>
      <c r="B31" s="91">
        <v>8000</v>
      </c>
      <c r="C31" s="91">
        <v>2116.0933400000004</v>
      </c>
      <c r="D31" s="91">
        <v>4000</v>
      </c>
      <c r="E31" s="86">
        <f t="shared" si="0"/>
        <v>5883.9066599999996</v>
      </c>
      <c r="F31" s="80">
        <f t="shared" si="1"/>
        <v>0.7354883324999999</v>
      </c>
    </row>
    <row r="32" spans="1:6" x14ac:dyDescent="0.2">
      <c r="A32" s="76" t="s">
        <v>128</v>
      </c>
      <c r="B32" s="91">
        <v>8000</v>
      </c>
      <c r="C32" s="91">
        <v>2532.8903800000003</v>
      </c>
      <c r="D32" s="91">
        <v>4000</v>
      </c>
      <c r="E32" s="86">
        <f t="shared" si="0"/>
        <v>5467.1096199999993</v>
      </c>
      <c r="F32" s="80">
        <f t="shared" si="1"/>
        <v>0.68338870249999994</v>
      </c>
    </row>
    <row r="33" spans="1:6" x14ac:dyDescent="0.2">
      <c r="A33" s="76" t="s">
        <v>109</v>
      </c>
      <c r="B33" s="91">
        <v>8000</v>
      </c>
      <c r="C33" s="91">
        <v>2549.6874200000002</v>
      </c>
      <c r="D33" s="91">
        <v>3000</v>
      </c>
      <c r="E33" s="86">
        <f t="shared" si="0"/>
        <v>5450.3125799999998</v>
      </c>
      <c r="F33" s="80">
        <f t="shared" si="1"/>
        <v>0.68128907250000004</v>
      </c>
    </row>
    <row r="34" spans="1:6" x14ac:dyDescent="0.2">
      <c r="A34" s="76" t="s">
        <v>110</v>
      </c>
      <c r="B34" s="91">
        <v>8000</v>
      </c>
      <c r="C34" s="91">
        <v>2566.4948800000002</v>
      </c>
      <c r="D34" s="91">
        <v>3000</v>
      </c>
      <c r="E34" s="86">
        <f t="shared" si="0"/>
        <v>5433.5051199999998</v>
      </c>
      <c r="F34" s="80">
        <f t="shared" si="1"/>
        <v>0.67918813999999994</v>
      </c>
    </row>
    <row r="35" spans="1:6" x14ac:dyDescent="0.2">
      <c r="A35" s="73">
        <v>2029</v>
      </c>
      <c r="B35" s="91">
        <v>96000</v>
      </c>
      <c r="C35" s="91">
        <v>33192.965140000008</v>
      </c>
      <c r="D35" s="91">
        <v>36000</v>
      </c>
      <c r="E35" s="85">
        <f t="shared" si="0"/>
        <v>62807.034859999992</v>
      </c>
      <c r="F35" s="79">
        <f t="shared" si="1"/>
        <v>0.65423994645833328</v>
      </c>
    </row>
    <row r="36" spans="1:6" x14ac:dyDescent="0.2">
      <c r="A36" s="76" t="s">
        <v>113</v>
      </c>
      <c r="B36" s="91">
        <v>8000</v>
      </c>
      <c r="C36" s="91">
        <v>2583.2919200000001</v>
      </c>
      <c r="D36" s="91">
        <v>3000</v>
      </c>
      <c r="E36" s="86">
        <f t="shared" si="0"/>
        <v>5416.7080800000003</v>
      </c>
      <c r="F36" s="80">
        <f t="shared" si="1"/>
        <v>0.67708850999999992</v>
      </c>
    </row>
    <row r="37" spans="1:6" x14ac:dyDescent="0.2">
      <c r="A37" s="76" t="s">
        <v>120</v>
      </c>
      <c r="B37" s="91">
        <v>8000</v>
      </c>
      <c r="C37" s="91">
        <v>2600.08896</v>
      </c>
      <c r="D37" s="91">
        <v>3000</v>
      </c>
      <c r="E37" s="86">
        <f t="shared" si="0"/>
        <v>5399.91104</v>
      </c>
      <c r="F37" s="80">
        <f t="shared" si="1"/>
        <v>0.67498888000000001</v>
      </c>
    </row>
    <row r="38" spans="1:6" x14ac:dyDescent="0.2">
      <c r="A38" s="76" t="s">
        <v>121</v>
      </c>
      <c r="B38" s="91">
        <v>8000</v>
      </c>
      <c r="C38" s="91">
        <v>2616.89642</v>
      </c>
      <c r="D38" s="91">
        <v>3000</v>
      </c>
      <c r="E38" s="86">
        <f t="shared" si="0"/>
        <v>5383.10358</v>
      </c>
      <c r="F38" s="80">
        <f t="shared" si="1"/>
        <v>0.67288794750000003</v>
      </c>
    </row>
    <row r="39" spans="1:6" x14ac:dyDescent="0.2">
      <c r="A39" s="76" t="s">
        <v>122</v>
      </c>
      <c r="B39" s="91">
        <v>8000</v>
      </c>
      <c r="C39" s="91">
        <v>2617.0631400000002</v>
      </c>
      <c r="D39" s="91">
        <v>3000</v>
      </c>
      <c r="E39" s="86">
        <f t="shared" si="0"/>
        <v>5382.9368599999998</v>
      </c>
      <c r="F39" s="80">
        <f t="shared" si="1"/>
        <v>0.67286710749999989</v>
      </c>
    </row>
    <row r="40" spans="1:6" x14ac:dyDescent="0.2">
      <c r="A40" s="76" t="s">
        <v>123</v>
      </c>
      <c r="B40" s="91">
        <v>8000</v>
      </c>
      <c r="C40" s="91">
        <v>2847.0012800000004</v>
      </c>
      <c r="D40" s="91">
        <v>3000</v>
      </c>
      <c r="E40" s="86">
        <f t="shared" si="0"/>
        <v>5152.9987199999996</v>
      </c>
      <c r="F40" s="80">
        <f t="shared" si="1"/>
        <v>0.64412483999999992</v>
      </c>
    </row>
    <row r="41" spans="1:6" x14ac:dyDescent="0.2">
      <c r="A41" s="76" t="s">
        <v>124</v>
      </c>
      <c r="B41" s="91">
        <v>8000</v>
      </c>
      <c r="C41" s="91">
        <v>2846.9908599999999</v>
      </c>
      <c r="D41" s="91">
        <v>3000</v>
      </c>
      <c r="E41" s="86">
        <f t="shared" si="0"/>
        <v>5153.0091400000001</v>
      </c>
      <c r="F41" s="80">
        <f t="shared" si="1"/>
        <v>0.6441261425</v>
      </c>
    </row>
    <row r="42" spans="1:6" x14ac:dyDescent="0.2">
      <c r="A42" s="76" t="s">
        <v>125</v>
      </c>
      <c r="B42" s="91">
        <v>8000</v>
      </c>
      <c r="C42" s="91">
        <v>2846.9804400000003</v>
      </c>
      <c r="D42" s="91">
        <v>3000</v>
      </c>
      <c r="E42" s="86">
        <f t="shared" si="0"/>
        <v>5153.0195599999997</v>
      </c>
      <c r="F42" s="80">
        <f t="shared" si="1"/>
        <v>0.64412744499999997</v>
      </c>
    </row>
    <row r="43" spans="1:6" x14ac:dyDescent="0.2">
      <c r="A43" s="76" t="s">
        <v>126</v>
      </c>
      <c r="B43" s="91">
        <v>8000</v>
      </c>
      <c r="C43" s="91">
        <v>2846.9596000000006</v>
      </c>
      <c r="D43" s="91">
        <v>3000</v>
      </c>
      <c r="E43" s="86">
        <f t="shared" si="0"/>
        <v>5153.0403999999999</v>
      </c>
      <c r="F43" s="80">
        <f t="shared" si="1"/>
        <v>0.6441300499999999</v>
      </c>
    </row>
    <row r="44" spans="1:6" x14ac:dyDescent="0.2">
      <c r="A44" s="76" t="s">
        <v>127</v>
      </c>
      <c r="B44" s="91">
        <v>8000</v>
      </c>
      <c r="C44" s="91">
        <v>2846.9491800000001</v>
      </c>
      <c r="D44" s="91">
        <v>3000</v>
      </c>
      <c r="E44" s="86">
        <f t="shared" si="0"/>
        <v>5153.0508200000004</v>
      </c>
      <c r="F44" s="80">
        <f t="shared" si="1"/>
        <v>0.64413135249999998</v>
      </c>
    </row>
    <row r="45" spans="1:6" x14ac:dyDescent="0.2">
      <c r="A45" s="76" t="s">
        <v>128</v>
      </c>
      <c r="B45" s="91">
        <v>8000</v>
      </c>
      <c r="C45" s="91">
        <v>2846.9283400000004</v>
      </c>
      <c r="D45" s="91">
        <v>3000</v>
      </c>
      <c r="E45" s="86">
        <f t="shared" si="0"/>
        <v>5153.0716599999996</v>
      </c>
      <c r="F45" s="80">
        <f t="shared" si="1"/>
        <v>0.64413395750000002</v>
      </c>
    </row>
    <row r="46" spans="1:6" x14ac:dyDescent="0.2">
      <c r="A46" s="76" t="s">
        <v>109</v>
      </c>
      <c r="B46" s="91">
        <v>8000</v>
      </c>
      <c r="C46" s="91">
        <v>2846.9179200000003</v>
      </c>
      <c r="D46" s="91">
        <v>3000</v>
      </c>
      <c r="E46" s="86">
        <f t="shared" si="0"/>
        <v>5153.0820800000001</v>
      </c>
      <c r="F46" s="80">
        <f t="shared" si="1"/>
        <v>0.64413525999999999</v>
      </c>
    </row>
    <row r="47" spans="1:6" x14ac:dyDescent="0.2">
      <c r="A47" s="76" t="s">
        <v>110</v>
      </c>
      <c r="B47" s="91">
        <v>8000</v>
      </c>
      <c r="C47" s="91">
        <v>2846.8970799999997</v>
      </c>
      <c r="D47" s="91">
        <v>3000</v>
      </c>
      <c r="E47" s="86">
        <f t="shared" si="0"/>
        <v>5153.1029200000003</v>
      </c>
      <c r="F47" s="80">
        <f t="shared" si="1"/>
        <v>0.64413786500000003</v>
      </c>
    </row>
    <row r="48" spans="1:6" ht="13.5" thickBot="1" x14ac:dyDescent="0.25">
      <c r="A48" s="73" t="s">
        <v>38</v>
      </c>
      <c r="B48" s="91">
        <v>330540</v>
      </c>
      <c r="C48" s="91">
        <v>118180.81153999998</v>
      </c>
      <c r="D48" s="91">
        <v>120799.8</v>
      </c>
      <c r="E48" s="87">
        <f t="shared" si="0"/>
        <v>212359.18846000003</v>
      </c>
      <c r="F48" s="81">
        <f t="shared" si="1"/>
        <v>0.64246139184364992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3792-87DE-4BB9-9D38-6A41684B2015}">
  <dimension ref="B2:U443"/>
  <sheetViews>
    <sheetView showGridLines="0" topLeftCell="C1" workbookViewId="0">
      <selection activeCell="S436" sqref="S436"/>
    </sheetView>
  </sheetViews>
  <sheetFormatPr defaultRowHeight="12.75" x14ac:dyDescent="0.2"/>
  <cols>
    <col min="1" max="1" width="2.5703125" customWidth="1"/>
    <col min="2" max="2" width="16.85546875" style="11" customWidth="1"/>
    <col min="3" max="3" width="14.7109375" style="10" customWidth="1"/>
    <col min="4" max="4" width="14.7109375" customWidth="1"/>
    <col min="5" max="5" width="14.7109375" style="11" customWidth="1"/>
    <col min="6" max="6" width="23.140625" style="11" bestFit="1" customWidth="1"/>
    <col min="7" max="7" width="15.140625" style="11" customWidth="1"/>
    <col min="8" max="8" width="14.7109375" style="12" customWidth="1"/>
    <col min="9" max="9" width="21.85546875" style="11" customWidth="1"/>
    <col min="10" max="10" width="15.140625" style="14" customWidth="1"/>
    <col min="11" max="11" width="15.140625" style="11" customWidth="1"/>
    <col min="15" max="16" width="16.7109375" customWidth="1"/>
    <col min="17" max="17" width="12" customWidth="1"/>
    <col min="18" max="18" width="13" customWidth="1"/>
    <col min="19" max="20" width="12.85546875" customWidth="1"/>
    <col min="22" max="22" width="0.85546875" customWidth="1"/>
  </cols>
  <sheetData>
    <row r="2" spans="2:21" s="1" customFormat="1" ht="16.5" customHeight="1" x14ac:dyDescent="0.2">
      <c r="B2" s="17"/>
      <c r="C2" s="16"/>
      <c r="E2" s="17"/>
      <c r="F2" s="17"/>
      <c r="G2" s="52" t="s">
        <v>64</v>
      </c>
      <c r="H2" s="53" t="s">
        <v>65</v>
      </c>
      <c r="I2" s="52"/>
      <c r="J2" s="54" t="s">
        <v>64</v>
      </c>
      <c r="K2" s="55"/>
      <c r="L2" s="56"/>
    </row>
    <row r="3" spans="2:21" s="1" customFormat="1" ht="16.5" customHeight="1" x14ac:dyDescent="0.2">
      <c r="B3" s="17"/>
      <c r="C3" s="16"/>
      <c r="E3" s="17"/>
      <c r="F3" s="17"/>
      <c r="G3" s="57">
        <f>SUBTOTAL(109,G5:G1048576)</f>
        <v>1</v>
      </c>
      <c r="H3" s="57">
        <f>SUBTOTAL(1,H5:H1048576)</f>
        <v>86.95</v>
      </c>
      <c r="I3" s="17"/>
      <c r="J3" s="57">
        <f>SUBTOTAL(109,J5:J1048576)</f>
        <v>86.95</v>
      </c>
      <c r="K3" s="17"/>
      <c r="Q3" s="61">
        <f ca="1">SUBTOTAL(1,Q5:Q1048576)</f>
        <v>86.67</v>
      </c>
      <c r="R3" s="61">
        <f ca="1">SUBTOTAL(109,R5:R1048576)</f>
        <v>86.67</v>
      </c>
      <c r="S3" s="61">
        <f ca="1">SUBTOTAL(109,S5:S1048576)</f>
        <v>-0.28000000000000114</v>
      </c>
      <c r="T3" s="62">
        <f ca="1">SUBTOTAL(1,T5:T1048576)</f>
        <v>-1.5114000000000001E-2</v>
      </c>
      <c r="U3" s="62">
        <f ca="1">SUBTOTAL(1,U5:U1048576)</f>
        <v>-3.2202415181138717E-3</v>
      </c>
    </row>
    <row r="4" spans="2:21" s="1" customFormat="1" ht="40.5" customHeight="1" x14ac:dyDescent="0.2">
      <c r="B4" s="15" t="s">
        <v>62</v>
      </c>
      <c r="C4" s="16" t="s">
        <v>4</v>
      </c>
      <c r="D4" s="1" t="s">
        <v>3</v>
      </c>
      <c r="E4" s="17" t="s">
        <v>13</v>
      </c>
      <c r="F4" s="74" t="s">
        <v>14</v>
      </c>
      <c r="G4" s="17" t="s">
        <v>15</v>
      </c>
      <c r="H4" s="18" t="s">
        <v>16</v>
      </c>
      <c r="I4" s="17" t="s">
        <v>17</v>
      </c>
      <c r="J4" s="50" t="s">
        <v>63</v>
      </c>
      <c r="K4" s="17" t="s">
        <v>18</v>
      </c>
      <c r="L4" s="19" t="s">
        <v>59</v>
      </c>
      <c r="M4" s="19" t="s">
        <v>60</v>
      </c>
      <c r="N4" s="19" t="s">
        <v>61</v>
      </c>
      <c r="O4" s="15" t="s">
        <v>157</v>
      </c>
      <c r="P4" s="15" t="s">
        <v>158</v>
      </c>
      <c r="Q4" s="7" t="s">
        <v>19</v>
      </c>
      <c r="R4" s="6" t="s">
        <v>20</v>
      </c>
      <c r="S4" s="6" t="s">
        <v>141</v>
      </c>
      <c r="T4" s="6" t="s">
        <v>132</v>
      </c>
      <c r="U4" s="6" t="s">
        <v>21</v>
      </c>
    </row>
    <row r="5" spans="2:21" hidden="1" x14ac:dyDescent="0.2">
      <c r="B5" s="13" t="s">
        <v>39</v>
      </c>
      <c r="C5" s="10">
        <v>46302</v>
      </c>
      <c r="D5" s="9" t="s">
        <v>9</v>
      </c>
      <c r="E5" s="11" t="str">
        <f ca="1">IF(tb_investimentos[[#This Row],[TIPO MOVIMENTAÇÃO]]="Aporte",_xlfn.XLOOKUP(tb_investimentos[[#This Row],[DESCRIÇÃO]],'INFO AÇÕES'!E:E,'INFO AÇÕES'!I:I),"BRL")</f>
        <v>BRL</v>
      </c>
      <c r="F5" s="73" t="s">
        <v>5</v>
      </c>
      <c r="G5" s="11">
        <v>1</v>
      </c>
      <c r="H5" s="12">
        <v>8.74</v>
      </c>
      <c r="I5" s="13" t="s">
        <v>58</v>
      </c>
      <c r="J5" s="14">
        <f t="shared" ref="J5:J68" si="0">H5*G5</f>
        <v>8.74</v>
      </c>
      <c r="K5" s="11" t="s">
        <v>6</v>
      </c>
      <c r="L5">
        <f>MONTH(tb_investimentos[[#This Row],[DATA]])</f>
        <v>10</v>
      </c>
      <c r="M5">
        <f>YEAR(tb_investimentos[[#This Row],[DATA]])</f>
        <v>2026</v>
      </c>
      <c r="N5">
        <f>DAY(tb_investimentos[[#This Row],[DATA]])</f>
        <v>7</v>
      </c>
      <c r="O5">
        <f t="shared" ref="O5:O68" si="1">SUMIF($D$5:$D$10000, D5, $J$5:$J$10000) / SUMIF($D$5:$D$10000, D5, $G$5:$G$10000)</f>
        <v>8.472999999999999</v>
      </c>
      <c r="P5">
        <f>tb_investimentos[[#This Row],[PREÇO MÉDIO PONDERADO]]*tb_investimentos[[#This Row],[QUANTIDADE]]</f>
        <v>8.472999999999999</v>
      </c>
      <c r="Q5" s="58">
        <f ca="1">IFERROR(_xlfn.XLOOKUP(tb_investimentos[[#This Row],[DESCRIÇÃO]],tb_acoes[Símbolo do ticker],tb_acoes[Preço]),"")</f>
        <v>8.35</v>
      </c>
      <c r="R5" s="58">
        <f ca="1">IFERROR(tb_investimentos[[#This Row],[QUANTIDADE]]*tb_investimentos[[#This Row],[PREÇO MERCADO]],"")</f>
        <v>8.35</v>
      </c>
      <c r="S5" s="58">
        <f ca="1">IFERROR(tb_investimentos[[#This Row],[VALOR TOTAL MERCADO]]-tb_investimentos[[#This Row],[VALOR TOTAL PONDERADO]],"")</f>
        <v>-0.12299999999999933</v>
      </c>
      <c r="T5" s="58">
        <f ca="1">IFERROR(_xlfn.XLOOKUP(tb_investimentos[[#This Row],[DESCRIÇÃO]],'INFO AÇÕES'!E:E,'INFO AÇÕES'!H:H),"")</f>
        <v>-4.4622000000000002E-2</v>
      </c>
      <c r="U5" s="59">
        <f ca="1">IFERROR((tb_investimentos[[#This Row],[VALOR TOTAL MERCADO]]-tb_investimentos[[#This Row],[VALOR TOTAL PONDERADO]])/tb_investimentos[[#This Row],[VALOR TOTAL PONDERADO]],"")</f>
        <v>-1.4516700106219679E-2</v>
      </c>
    </row>
    <row r="6" spans="2:21" hidden="1" x14ac:dyDescent="0.2">
      <c r="B6" s="13" t="s">
        <v>39</v>
      </c>
      <c r="C6" s="10">
        <v>46302</v>
      </c>
      <c r="D6" s="9" t="s">
        <v>7</v>
      </c>
      <c r="E6" s="11" t="str">
        <f ca="1">IF(tb_investimentos[[#This Row],[TIPO MOVIMENTAÇÃO]]="Aporte",_xlfn.XLOOKUP(tb_investimentos[[#This Row],[DESCRIÇÃO]],'INFO AÇÕES'!E:E,'INFO AÇÕES'!I:I),"BRL")</f>
        <v>BRL</v>
      </c>
      <c r="F6" s="73" t="s">
        <v>5</v>
      </c>
      <c r="G6" s="11">
        <v>1</v>
      </c>
      <c r="H6" s="12">
        <v>9.3800000000000008</v>
      </c>
      <c r="I6" s="13" t="s">
        <v>58</v>
      </c>
      <c r="J6" s="14">
        <f t="shared" si="0"/>
        <v>9.3800000000000008</v>
      </c>
      <c r="K6" s="11" t="s">
        <v>6</v>
      </c>
      <c r="L6">
        <f>MONTH(tb_investimentos[[#This Row],[DATA]])</f>
        <v>10</v>
      </c>
      <c r="M6">
        <f>YEAR(tb_investimentos[[#This Row],[DATA]])</f>
        <v>2026</v>
      </c>
      <c r="N6">
        <f>DAY(tb_investimentos[[#This Row],[DATA]])</f>
        <v>7</v>
      </c>
      <c r="O6">
        <f t="shared" si="1"/>
        <v>9.1778571428571443</v>
      </c>
      <c r="P6">
        <f>tb_investimentos[[#This Row],[PREÇO MÉDIO PONDERADO]]*tb_investimentos[[#This Row],[QUANTIDADE]]</f>
        <v>9.1778571428571443</v>
      </c>
      <c r="Q6" s="58">
        <f ca="1">IFERROR(_xlfn.XLOOKUP(tb_investimentos[[#This Row],[DESCRIÇÃO]],tb_acoes[Símbolo do ticker],tb_acoes[Preço]),"")</f>
        <v>9.02</v>
      </c>
      <c r="R6" s="58">
        <f ca="1">IFERROR(tb_investimentos[[#This Row],[QUANTIDADE]]*tb_investimentos[[#This Row],[PREÇO MERCADO]],"")</f>
        <v>9.02</v>
      </c>
      <c r="S6" s="58">
        <f ca="1">IFERROR(tb_investimentos[[#This Row],[VALOR TOTAL MERCADO]]-tb_investimentos[[#This Row],[VALOR TOTAL PONDERADO]],"")</f>
        <v>-0.15785714285714469</v>
      </c>
      <c r="T6" s="58">
        <f ca="1">IFERROR(_xlfn.XLOOKUP(tb_investimentos[[#This Row],[DESCRIÇÃO]],'INFO AÇÕES'!E:E,'INFO AÇÕES'!H:H),"")</f>
        <v>-9.8790000000000006E-3</v>
      </c>
      <c r="U6" s="59">
        <f ca="1">IFERROR((tb_investimentos[[#This Row],[VALOR TOTAL MERCADO]]-tb_investimentos[[#This Row],[VALOR TOTAL PONDERADO]])/tb_investimentos[[#This Row],[VALOR TOTAL PONDERADO]],"")</f>
        <v>-1.7199782084209084E-2</v>
      </c>
    </row>
    <row r="7" spans="2:21" hidden="1" x14ac:dyDescent="0.2">
      <c r="B7" s="13" t="s">
        <v>39</v>
      </c>
      <c r="C7" s="10">
        <v>46302</v>
      </c>
      <c r="D7" s="9" t="s">
        <v>7</v>
      </c>
      <c r="E7" s="11" t="str">
        <f ca="1">IF(tb_investimentos[[#This Row],[TIPO MOVIMENTAÇÃO]]="Aporte",_xlfn.XLOOKUP(tb_investimentos[[#This Row],[DESCRIÇÃO]],'INFO AÇÕES'!E:E,'INFO AÇÕES'!I:I),"BRL")</f>
        <v>BRL</v>
      </c>
      <c r="F7" s="73" t="s">
        <v>5</v>
      </c>
      <c r="G7" s="11">
        <v>1</v>
      </c>
      <c r="H7" s="12">
        <v>9.44</v>
      </c>
      <c r="I7" s="13" t="s">
        <v>58</v>
      </c>
      <c r="J7" s="51">
        <f t="shared" si="0"/>
        <v>9.44</v>
      </c>
      <c r="K7" s="11" t="s">
        <v>6</v>
      </c>
      <c r="L7">
        <f>MONTH(tb_investimentos[[#This Row],[DATA]])</f>
        <v>10</v>
      </c>
      <c r="M7">
        <f>YEAR(tb_investimentos[[#This Row],[DATA]])</f>
        <v>2026</v>
      </c>
      <c r="N7">
        <f>DAY(tb_investimentos[[#This Row],[DATA]])</f>
        <v>7</v>
      </c>
      <c r="O7">
        <f t="shared" si="1"/>
        <v>9.1778571428571443</v>
      </c>
      <c r="P7">
        <f>tb_investimentos[[#This Row],[PREÇO MÉDIO PONDERADO]]*tb_investimentos[[#This Row],[QUANTIDADE]]</f>
        <v>9.1778571428571443</v>
      </c>
      <c r="Q7" s="58">
        <f ca="1">IFERROR(_xlfn.XLOOKUP(tb_investimentos[[#This Row],[DESCRIÇÃO]],tb_acoes[Símbolo do ticker],tb_acoes[Preço]),"")</f>
        <v>9.02</v>
      </c>
      <c r="R7" s="58">
        <f ca="1">IFERROR(tb_investimentos[[#This Row],[QUANTIDADE]]*tb_investimentos[[#This Row],[PREÇO MERCADO]],"")</f>
        <v>9.02</v>
      </c>
      <c r="S7" s="58">
        <f ca="1">IFERROR(tb_investimentos[[#This Row],[VALOR TOTAL MERCADO]]-tb_investimentos[[#This Row],[VALOR TOTAL PONDERADO]],"")</f>
        <v>-0.15785714285714469</v>
      </c>
      <c r="T7" s="58">
        <f ca="1">IFERROR(_xlfn.XLOOKUP(tb_investimentos[[#This Row],[DESCRIÇÃO]],'INFO AÇÕES'!E:E,'INFO AÇÕES'!H:H),"")</f>
        <v>-9.8790000000000006E-3</v>
      </c>
      <c r="U7" s="59">
        <f ca="1">IFERROR((tb_investimentos[[#This Row],[VALOR TOTAL MERCADO]]-tb_investimentos[[#This Row],[VALOR TOTAL PONDERADO]])/tb_investimentos[[#This Row],[VALOR TOTAL PONDERADO]],"")</f>
        <v>-1.7199782084209084E-2</v>
      </c>
    </row>
    <row r="8" spans="2:21" hidden="1" x14ac:dyDescent="0.2">
      <c r="B8" s="13" t="s">
        <v>39</v>
      </c>
      <c r="C8" s="10">
        <v>46309</v>
      </c>
      <c r="D8" s="9" t="s">
        <v>8</v>
      </c>
      <c r="E8" s="11" t="str">
        <f ca="1">IF(tb_investimentos[[#This Row],[TIPO MOVIMENTAÇÃO]]="Aporte",_xlfn.XLOOKUP(tb_investimentos[[#This Row],[DESCRIÇÃO]],'INFO AÇÕES'!E:E,'INFO AÇÕES'!I:I),"BRL")</f>
        <v>BRL</v>
      </c>
      <c r="F8" s="73" t="s">
        <v>5</v>
      </c>
      <c r="G8" s="11">
        <v>3</v>
      </c>
      <c r="H8" s="12">
        <v>9.07</v>
      </c>
      <c r="I8" s="13" t="s">
        <v>58</v>
      </c>
      <c r="J8" s="51">
        <f t="shared" si="0"/>
        <v>27.21</v>
      </c>
      <c r="K8" s="11" t="s">
        <v>6</v>
      </c>
      <c r="L8">
        <f>MONTH(tb_investimentos[[#This Row],[DATA]])</f>
        <v>10</v>
      </c>
      <c r="M8">
        <f>YEAR(tb_investimentos[[#This Row],[DATA]])</f>
        <v>2026</v>
      </c>
      <c r="N8">
        <f>DAY(tb_investimentos[[#This Row],[DATA]])</f>
        <v>14</v>
      </c>
      <c r="O8">
        <f t="shared" si="1"/>
        <v>8.98</v>
      </c>
      <c r="P8">
        <f>tb_investimentos[[#This Row],[PREÇO MÉDIO PONDERADO]]*tb_investimentos[[#This Row],[QUANTIDADE]]</f>
        <v>26.94</v>
      </c>
      <c r="Q8" s="58">
        <f ca="1">IFERROR(_xlfn.XLOOKUP(tb_investimentos[[#This Row],[DESCRIÇÃO]],tb_acoes[Símbolo do ticker],tb_acoes[Preço]),"")</f>
        <v>8.85</v>
      </c>
      <c r="R8" s="58">
        <f ca="1">IFERROR(tb_investimentos[[#This Row],[QUANTIDADE]]*tb_investimentos[[#This Row],[PREÇO MERCADO]],"")</f>
        <v>26.549999999999997</v>
      </c>
      <c r="S8" s="58">
        <f ca="1">IFERROR(tb_investimentos[[#This Row],[VALOR TOTAL MERCADO]]-tb_investimentos[[#This Row],[VALOR TOTAL PONDERADO]],"")</f>
        <v>-0.39000000000000412</v>
      </c>
      <c r="T8" s="58">
        <f ca="1">IFERROR(_xlfn.XLOOKUP(tb_investimentos[[#This Row],[DESCRIÇÃO]],'INFO AÇÕES'!E:E,'INFO AÇÕES'!H:H),"")</f>
        <v>-1.4477E-2</v>
      </c>
      <c r="U8" s="59">
        <f ca="1">IFERROR((tb_investimentos[[#This Row],[VALOR TOTAL MERCADO]]-tb_investimentos[[#This Row],[VALOR TOTAL PONDERADO]])/tb_investimentos[[#This Row],[VALOR TOTAL PONDERADO]],"")</f>
        <v>-1.4476614699332001E-2</v>
      </c>
    </row>
    <row r="9" spans="2:21" hidden="1" x14ac:dyDescent="0.2">
      <c r="B9" s="13" t="s">
        <v>39</v>
      </c>
      <c r="C9" s="10">
        <v>46309</v>
      </c>
      <c r="D9" s="9" t="s">
        <v>7</v>
      </c>
      <c r="E9" s="11" t="str">
        <f ca="1">IF(tb_investimentos[[#This Row],[TIPO MOVIMENTAÇÃO]]="Aporte",_xlfn.XLOOKUP(tb_investimentos[[#This Row],[DESCRIÇÃO]],'INFO AÇÕES'!E:E,'INFO AÇÕES'!I:I),"BRL")</f>
        <v>BRL</v>
      </c>
      <c r="F9" s="73" t="s">
        <v>5</v>
      </c>
      <c r="G9" s="11">
        <v>3</v>
      </c>
      <c r="H9" s="12">
        <v>9.32</v>
      </c>
      <c r="I9" s="13" t="s">
        <v>58</v>
      </c>
      <c r="J9" s="51">
        <f t="shared" si="0"/>
        <v>27.96</v>
      </c>
      <c r="K9" s="11" t="s">
        <v>6</v>
      </c>
      <c r="L9">
        <f>MONTH(tb_investimentos[[#This Row],[DATA]])</f>
        <v>10</v>
      </c>
      <c r="M9">
        <f>YEAR(tb_investimentos[[#This Row],[DATA]])</f>
        <v>2026</v>
      </c>
      <c r="N9">
        <f>DAY(tb_investimentos[[#This Row],[DATA]])</f>
        <v>14</v>
      </c>
      <c r="O9">
        <f t="shared" si="1"/>
        <v>9.1778571428571443</v>
      </c>
      <c r="P9">
        <f>tb_investimentos[[#This Row],[PREÇO MÉDIO PONDERADO]]*tb_investimentos[[#This Row],[QUANTIDADE]]</f>
        <v>27.533571428571435</v>
      </c>
      <c r="Q9" s="58">
        <f ca="1">IFERROR(_xlfn.XLOOKUP(tb_investimentos[[#This Row],[DESCRIÇÃO]],tb_acoes[Símbolo do ticker],tb_acoes[Preço]),"")</f>
        <v>9.02</v>
      </c>
      <c r="R9" s="58">
        <f ca="1">IFERROR(tb_investimentos[[#This Row],[QUANTIDADE]]*tb_investimentos[[#This Row],[PREÇO MERCADO]],"")</f>
        <v>27.06</v>
      </c>
      <c r="S9" s="58">
        <f ca="1">IFERROR(tb_investimentos[[#This Row],[VALOR TOTAL MERCADO]]-tb_investimentos[[#This Row],[VALOR TOTAL PONDERADO]],"")</f>
        <v>-0.47357142857143586</v>
      </c>
      <c r="T9" s="58">
        <f ca="1">IFERROR(_xlfn.XLOOKUP(tb_investimentos[[#This Row],[DESCRIÇÃO]],'INFO AÇÕES'!E:E,'INFO AÇÕES'!H:H),"")</f>
        <v>-9.8790000000000006E-3</v>
      </c>
      <c r="U9" s="59">
        <f ca="1">IFERROR((tb_investimentos[[#This Row],[VALOR TOTAL MERCADO]]-tb_investimentos[[#This Row],[VALOR TOTAL PONDERADO]])/tb_investimentos[[#This Row],[VALOR TOTAL PONDERADO]],"")</f>
        <v>-1.719978208420915E-2</v>
      </c>
    </row>
    <row r="10" spans="2:21" hidden="1" x14ac:dyDescent="0.2">
      <c r="B10" s="13" t="s">
        <v>39</v>
      </c>
      <c r="C10" s="10">
        <v>46309</v>
      </c>
      <c r="D10" s="9" t="s">
        <v>9</v>
      </c>
      <c r="E10" s="11" t="str">
        <f ca="1">IF(tb_investimentos[[#This Row],[TIPO MOVIMENTAÇÃO]]="Aporte",_xlfn.XLOOKUP(tb_investimentos[[#This Row],[DESCRIÇÃO]],'INFO AÇÕES'!E:E,'INFO AÇÕES'!I:I),"BRL")</f>
        <v>BRL</v>
      </c>
      <c r="F10" s="73" t="s">
        <v>5</v>
      </c>
      <c r="G10" s="11">
        <v>2</v>
      </c>
      <c r="H10" s="12">
        <v>8.59</v>
      </c>
      <c r="I10" s="13" t="s">
        <v>58</v>
      </c>
      <c r="J10" s="51">
        <f t="shared" si="0"/>
        <v>17.18</v>
      </c>
      <c r="K10" s="11" t="s">
        <v>6</v>
      </c>
      <c r="L10">
        <f>MONTH(tb_investimentos[[#This Row],[DATA]])</f>
        <v>10</v>
      </c>
      <c r="M10">
        <f>YEAR(tb_investimentos[[#This Row],[DATA]])</f>
        <v>2026</v>
      </c>
      <c r="N10">
        <f>DAY(tb_investimentos[[#This Row],[DATA]])</f>
        <v>14</v>
      </c>
      <c r="O10">
        <f t="shared" si="1"/>
        <v>8.472999999999999</v>
      </c>
      <c r="P10">
        <f>tb_investimentos[[#This Row],[PREÇO MÉDIO PONDERADO]]*tb_investimentos[[#This Row],[QUANTIDADE]]</f>
        <v>16.945999999999998</v>
      </c>
      <c r="Q10" s="58">
        <f ca="1">IFERROR(_xlfn.XLOOKUP(tb_investimentos[[#This Row],[DESCRIÇÃO]],tb_acoes[Símbolo do ticker],tb_acoes[Preço]),"")</f>
        <v>8.35</v>
      </c>
      <c r="R10" s="58">
        <f ca="1">IFERROR(tb_investimentos[[#This Row],[QUANTIDADE]]*tb_investimentos[[#This Row],[PREÇO MERCADO]],"")</f>
        <v>16.7</v>
      </c>
      <c r="S10" s="58">
        <f ca="1">IFERROR(tb_investimentos[[#This Row],[VALOR TOTAL MERCADO]]-tb_investimentos[[#This Row],[VALOR TOTAL PONDERADO]],"")</f>
        <v>-0.24599999999999866</v>
      </c>
      <c r="T10" s="58">
        <f ca="1">IFERROR(_xlfn.XLOOKUP(tb_investimentos[[#This Row],[DESCRIÇÃO]],'INFO AÇÕES'!E:E,'INFO AÇÕES'!H:H),"")</f>
        <v>-4.4622000000000002E-2</v>
      </c>
      <c r="U10" s="59">
        <f ca="1">IFERROR((tb_investimentos[[#This Row],[VALOR TOTAL MERCADO]]-tb_investimentos[[#This Row],[VALOR TOTAL PONDERADO]])/tb_investimentos[[#This Row],[VALOR TOTAL PONDERADO]],"")</f>
        <v>-1.4516700106219679E-2</v>
      </c>
    </row>
    <row r="11" spans="2:21" hidden="1" x14ac:dyDescent="0.2">
      <c r="B11" s="13" t="s">
        <v>39</v>
      </c>
      <c r="C11" s="10">
        <v>46309</v>
      </c>
      <c r="D11" s="9" t="s">
        <v>24</v>
      </c>
      <c r="E11" s="11" t="str">
        <f ca="1">IF(tb_investimentos[[#This Row],[TIPO MOVIMENTAÇÃO]]="Aporte",_xlfn.XLOOKUP(tb_investimentos[[#This Row],[DESCRIÇÃO]],'INFO AÇÕES'!E:E,'INFO AÇÕES'!I:I),"BRL")</f>
        <v>BRL</v>
      </c>
      <c r="F11" s="73" t="s">
        <v>10</v>
      </c>
      <c r="G11" s="11">
        <v>2</v>
      </c>
      <c r="H11" s="12">
        <v>7.84</v>
      </c>
      <c r="I11" s="13" t="s">
        <v>58</v>
      </c>
      <c r="J11" s="51">
        <f t="shared" si="0"/>
        <v>15.68</v>
      </c>
      <c r="K11" s="11" t="s">
        <v>6</v>
      </c>
      <c r="L11">
        <f>MONTH(tb_investimentos[[#This Row],[DATA]])</f>
        <v>10</v>
      </c>
      <c r="M11">
        <f>YEAR(tb_investimentos[[#This Row],[DATA]])</f>
        <v>2026</v>
      </c>
      <c r="N11">
        <f>DAY(tb_investimentos[[#This Row],[DATA]])</f>
        <v>14</v>
      </c>
      <c r="O11">
        <f t="shared" si="1"/>
        <v>7.2909999999999995</v>
      </c>
      <c r="P11">
        <f>tb_investimentos[[#This Row],[PREÇO MÉDIO PONDERADO]]*tb_investimentos[[#This Row],[QUANTIDADE]]</f>
        <v>14.581999999999999</v>
      </c>
      <c r="Q11" s="58">
        <f ca="1">IFERROR(_xlfn.XLOOKUP(tb_investimentos[[#This Row],[DESCRIÇÃO]],tb_acoes[Símbolo do ticker],tb_acoes[Preço]),"")</f>
        <v>6.86</v>
      </c>
      <c r="R11" s="58">
        <f ca="1">IFERROR(tb_investimentos[[#This Row],[QUANTIDADE]]*tb_investimentos[[#This Row],[PREÇO MERCADO]],"")</f>
        <v>13.72</v>
      </c>
      <c r="S11" s="58">
        <f ca="1">IFERROR(tb_investimentos[[#This Row],[VALOR TOTAL MERCADO]]-tb_investimentos[[#This Row],[VALOR TOTAL PONDERADO]],"")</f>
        <v>-0.86199999999999832</v>
      </c>
      <c r="T11" s="58">
        <f ca="1">IFERROR(_xlfn.XLOOKUP(tb_investimentos[[#This Row],[DESCRIÇÃO]],'INFO AÇÕES'!E:E,'INFO AÇÕES'!H:H),"")</f>
        <v>8.8240000000000002E-3</v>
      </c>
      <c r="U11" s="59">
        <f ca="1">IFERROR((tb_investimentos[[#This Row],[VALOR TOTAL MERCADO]]-tb_investimentos[[#This Row],[VALOR TOTAL PONDERADO]])/tb_investimentos[[#This Row],[VALOR TOTAL PONDERADO]],"")</f>
        <v>-5.9113976134960798E-2</v>
      </c>
    </row>
    <row r="12" spans="2:21" hidden="1" x14ac:dyDescent="0.2">
      <c r="B12" s="13" t="s">
        <v>39</v>
      </c>
      <c r="C12" s="10">
        <v>46314</v>
      </c>
      <c r="D12" s="9" t="s">
        <v>9</v>
      </c>
      <c r="E12" s="11" t="str">
        <f ca="1">IF(tb_investimentos[[#This Row],[TIPO MOVIMENTAÇÃO]]="Aporte",_xlfn.XLOOKUP(tb_investimentos[[#This Row],[DESCRIÇÃO]],'INFO AÇÕES'!E:E,'INFO AÇÕES'!I:I),"BRL")</f>
        <v>BRL</v>
      </c>
      <c r="F12" s="73" t="s">
        <v>5</v>
      </c>
      <c r="G12" s="11">
        <v>2</v>
      </c>
      <c r="H12" s="12">
        <v>8.68</v>
      </c>
      <c r="I12" s="13" t="s">
        <v>58</v>
      </c>
      <c r="J12" s="51">
        <f t="shared" si="0"/>
        <v>17.36</v>
      </c>
      <c r="K12" s="11" t="s">
        <v>6</v>
      </c>
      <c r="L12">
        <f>MONTH(tb_investimentos[[#This Row],[DATA]])</f>
        <v>10</v>
      </c>
      <c r="M12">
        <f>YEAR(tb_investimentos[[#This Row],[DATA]])</f>
        <v>2026</v>
      </c>
      <c r="N12">
        <f>DAY(tb_investimentos[[#This Row],[DATA]])</f>
        <v>19</v>
      </c>
      <c r="O12">
        <f t="shared" si="1"/>
        <v>8.472999999999999</v>
      </c>
      <c r="P12">
        <f>tb_investimentos[[#This Row],[PREÇO MÉDIO PONDERADO]]*tb_investimentos[[#This Row],[QUANTIDADE]]</f>
        <v>16.945999999999998</v>
      </c>
      <c r="Q12" s="58">
        <f ca="1">IFERROR(_xlfn.XLOOKUP(tb_investimentos[[#This Row],[DESCRIÇÃO]],tb_acoes[Símbolo do ticker],tb_acoes[Preço]),"")</f>
        <v>8.35</v>
      </c>
      <c r="R12" s="58">
        <f ca="1">IFERROR(tb_investimentos[[#This Row],[QUANTIDADE]]*tb_investimentos[[#This Row],[PREÇO MERCADO]],"")</f>
        <v>16.7</v>
      </c>
      <c r="S12" s="58">
        <f ca="1">IFERROR(tb_investimentos[[#This Row],[VALOR TOTAL MERCADO]]-tb_investimentos[[#This Row],[VALOR TOTAL PONDERADO]],"")</f>
        <v>-0.24599999999999866</v>
      </c>
      <c r="T12" s="58">
        <f ca="1">IFERROR(_xlfn.XLOOKUP(tb_investimentos[[#This Row],[DESCRIÇÃO]],'INFO AÇÕES'!E:E,'INFO AÇÕES'!H:H),"")</f>
        <v>-4.4622000000000002E-2</v>
      </c>
      <c r="U12" s="59">
        <f ca="1">IFERROR((tb_investimentos[[#This Row],[VALOR TOTAL MERCADO]]-tb_investimentos[[#This Row],[VALOR TOTAL PONDERADO]])/tb_investimentos[[#This Row],[VALOR TOTAL PONDERADO]],"")</f>
        <v>-1.4516700106219679E-2</v>
      </c>
    </row>
    <row r="13" spans="2:21" hidden="1" x14ac:dyDescent="0.2">
      <c r="B13" s="13" t="s">
        <v>39</v>
      </c>
      <c r="C13" s="10">
        <v>46314</v>
      </c>
      <c r="D13" s="9" t="s">
        <v>8</v>
      </c>
      <c r="E13" s="11" t="str">
        <f ca="1">IF(tb_investimentos[[#This Row],[TIPO MOVIMENTAÇÃO]]="Aporte",_xlfn.XLOOKUP(tb_investimentos[[#This Row],[DESCRIÇÃO]],'INFO AÇÕES'!E:E,'INFO AÇÕES'!I:I),"BRL")</f>
        <v>BRL</v>
      </c>
      <c r="F13" s="73" t="s">
        <v>5</v>
      </c>
      <c r="G13" s="11">
        <v>2</v>
      </c>
      <c r="H13" s="12">
        <v>9.16</v>
      </c>
      <c r="I13" s="13" t="s">
        <v>58</v>
      </c>
      <c r="J13" s="51">
        <f t="shared" si="0"/>
        <v>18.32</v>
      </c>
      <c r="K13" s="11" t="s">
        <v>6</v>
      </c>
      <c r="L13">
        <f>MONTH(tb_investimentos[[#This Row],[DATA]])</f>
        <v>10</v>
      </c>
      <c r="M13">
        <f>YEAR(tb_investimentos[[#This Row],[DATA]])</f>
        <v>2026</v>
      </c>
      <c r="N13">
        <f>DAY(tb_investimentos[[#This Row],[DATA]])</f>
        <v>19</v>
      </c>
      <c r="O13">
        <f t="shared" si="1"/>
        <v>8.98</v>
      </c>
      <c r="P13">
        <f>tb_investimentos[[#This Row],[PREÇO MÉDIO PONDERADO]]*tb_investimentos[[#This Row],[QUANTIDADE]]</f>
        <v>17.96</v>
      </c>
      <c r="Q13" s="58">
        <f ca="1">IFERROR(_xlfn.XLOOKUP(tb_investimentos[[#This Row],[DESCRIÇÃO]],tb_acoes[Símbolo do ticker],tb_acoes[Preço]),"")</f>
        <v>8.85</v>
      </c>
      <c r="R13" s="58">
        <f ca="1">IFERROR(tb_investimentos[[#This Row],[QUANTIDADE]]*tb_investimentos[[#This Row],[PREÇO MERCADO]],"")</f>
        <v>17.7</v>
      </c>
      <c r="S13" s="58">
        <f ca="1">IFERROR(tb_investimentos[[#This Row],[VALOR TOTAL MERCADO]]-tb_investimentos[[#This Row],[VALOR TOTAL PONDERADO]],"")</f>
        <v>-0.26000000000000156</v>
      </c>
      <c r="T13" s="58">
        <f ca="1">IFERROR(_xlfn.XLOOKUP(tb_investimentos[[#This Row],[DESCRIÇÃO]],'INFO AÇÕES'!E:E,'INFO AÇÕES'!H:H),"")</f>
        <v>-1.4477E-2</v>
      </c>
      <c r="U13" s="59">
        <f ca="1">IFERROR((tb_investimentos[[#This Row],[VALOR TOTAL MERCADO]]-tb_investimentos[[#This Row],[VALOR TOTAL PONDERADO]])/tb_investimentos[[#This Row],[VALOR TOTAL PONDERADO]],"")</f>
        <v>-1.4476614699331935E-2</v>
      </c>
    </row>
    <row r="14" spans="2:21" hidden="1" x14ac:dyDescent="0.2">
      <c r="B14" s="13" t="s">
        <v>39</v>
      </c>
      <c r="C14" s="10">
        <v>46314</v>
      </c>
      <c r="D14" s="9" t="s">
        <v>7</v>
      </c>
      <c r="E14" s="11" t="str">
        <f ca="1">IF(tb_investimentos[[#This Row],[TIPO MOVIMENTAÇÃO]]="Aporte",_xlfn.XLOOKUP(tb_investimentos[[#This Row],[DESCRIÇÃO]],'INFO AÇÕES'!E:E,'INFO AÇÕES'!I:I),"BRL")</f>
        <v>BRL</v>
      </c>
      <c r="F14" s="73" t="s">
        <v>5</v>
      </c>
      <c r="G14" s="11">
        <v>2</v>
      </c>
      <c r="H14" s="12">
        <v>9.39</v>
      </c>
      <c r="I14" s="13" t="s">
        <v>58</v>
      </c>
      <c r="J14" s="51">
        <f t="shared" si="0"/>
        <v>18.78</v>
      </c>
      <c r="K14" s="11" t="s">
        <v>6</v>
      </c>
      <c r="L14">
        <f>MONTH(tb_investimentos[[#This Row],[DATA]])</f>
        <v>10</v>
      </c>
      <c r="M14">
        <f>YEAR(tb_investimentos[[#This Row],[DATA]])</f>
        <v>2026</v>
      </c>
      <c r="N14">
        <f>DAY(tb_investimentos[[#This Row],[DATA]])</f>
        <v>19</v>
      </c>
      <c r="O14">
        <f t="shared" si="1"/>
        <v>9.1778571428571443</v>
      </c>
      <c r="P14">
        <f>tb_investimentos[[#This Row],[PREÇO MÉDIO PONDERADO]]*tb_investimentos[[#This Row],[QUANTIDADE]]</f>
        <v>18.355714285714289</v>
      </c>
      <c r="Q14" s="58">
        <f ca="1">IFERROR(_xlfn.XLOOKUP(tb_investimentos[[#This Row],[DESCRIÇÃO]],tb_acoes[Símbolo do ticker],tb_acoes[Preço]),"")</f>
        <v>9.02</v>
      </c>
      <c r="R14" s="58">
        <f ca="1">IFERROR(tb_investimentos[[#This Row],[QUANTIDADE]]*tb_investimentos[[#This Row],[PREÇO MERCADO]],"")</f>
        <v>18.04</v>
      </c>
      <c r="S14" s="58">
        <f ca="1">IFERROR(tb_investimentos[[#This Row],[VALOR TOTAL MERCADO]]-tb_investimentos[[#This Row],[VALOR TOTAL PONDERADO]],"")</f>
        <v>-0.31571428571428939</v>
      </c>
      <c r="T14" s="58">
        <f ca="1">IFERROR(_xlfn.XLOOKUP(tb_investimentos[[#This Row],[DESCRIÇÃO]],'INFO AÇÕES'!E:E,'INFO AÇÕES'!H:H),"")</f>
        <v>-9.8790000000000006E-3</v>
      </c>
      <c r="U14" s="59">
        <f ca="1">IFERROR((tb_investimentos[[#This Row],[VALOR TOTAL MERCADO]]-tb_investimentos[[#This Row],[VALOR TOTAL PONDERADO]])/tb_investimentos[[#This Row],[VALOR TOTAL PONDERADO]],"")</f>
        <v>-1.7199782084209084E-2</v>
      </c>
    </row>
    <row r="15" spans="2:21" hidden="1" x14ac:dyDescent="0.2">
      <c r="B15" s="13" t="s">
        <v>39</v>
      </c>
      <c r="C15" s="10">
        <v>46314</v>
      </c>
      <c r="D15" s="9" t="s">
        <v>24</v>
      </c>
      <c r="E15" s="11" t="str">
        <f ca="1">IF(tb_investimentos[[#This Row],[TIPO MOVIMENTAÇÃO]]="Aporte",_xlfn.XLOOKUP(tb_investimentos[[#This Row],[DESCRIÇÃO]],'INFO AÇÕES'!E:E,'INFO AÇÕES'!I:I),"BRL")</f>
        <v>BRL</v>
      </c>
      <c r="F15" s="73" t="s">
        <v>10</v>
      </c>
      <c r="G15" s="11">
        <v>3</v>
      </c>
      <c r="H15" s="12">
        <v>7.75</v>
      </c>
      <c r="I15" s="13" t="s">
        <v>58</v>
      </c>
      <c r="J15" s="51">
        <f t="shared" si="0"/>
        <v>23.25</v>
      </c>
      <c r="K15" s="11" t="s">
        <v>6</v>
      </c>
      <c r="L15">
        <f>MONTH(tb_investimentos[[#This Row],[DATA]])</f>
        <v>10</v>
      </c>
      <c r="M15">
        <f>YEAR(tb_investimentos[[#This Row],[DATA]])</f>
        <v>2026</v>
      </c>
      <c r="N15">
        <f>DAY(tb_investimentos[[#This Row],[DATA]])</f>
        <v>19</v>
      </c>
      <c r="O15">
        <f t="shared" si="1"/>
        <v>7.2909999999999995</v>
      </c>
      <c r="P15">
        <f>tb_investimentos[[#This Row],[PREÇO MÉDIO PONDERADO]]*tb_investimentos[[#This Row],[QUANTIDADE]]</f>
        <v>21.872999999999998</v>
      </c>
      <c r="Q15" s="58">
        <f ca="1">IFERROR(_xlfn.XLOOKUP(tb_investimentos[[#This Row],[DESCRIÇÃO]],tb_acoes[Símbolo do ticker],tb_acoes[Preço]),"")</f>
        <v>6.86</v>
      </c>
      <c r="R15" s="58">
        <f ca="1">IFERROR(tb_investimentos[[#This Row],[QUANTIDADE]]*tb_investimentos[[#This Row],[PREÇO MERCADO]],"")</f>
        <v>20.580000000000002</v>
      </c>
      <c r="S15" s="58">
        <f ca="1">IFERROR(tb_investimentos[[#This Row],[VALOR TOTAL MERCADO]]-tb_investimentos[[#This Row],[VALOR TOTAL PONDERADO]],"")</f>
        <v>-1.2929999999999957</v>
      </c>
      <c r="T15" s="58">
        <f ca="1">IFERROR(_xlfn.XLOOKUP(tb_investimentos[[#This Row],[DESCRIÇÃO]],'INFO AÇÕES'!E:E,'INFO AÇÕES'!H:H),"")</f>
        <v>8.8240000000000002E-3</v>
      </c>
      <c r="U15" s="59">
        <f ca="1">IFERROR((tb_investimentos[[#This Row],[VALOR TOTAL MERCADO]]-tb_investimentos[[#This Row],[VALOR TOTAL PONDERADO]])/tb_investimentos[[#This Row],[VALOR TOTAL PONDERADO]],"")</f>
        <v>-5.9113976134960722E-2</v>
      </c>
    </row>
    <row r="16" spans="2:21" hidden="1" x14ac:dyDescent="0.2">
      <c r="B16" s="13" t="s">
        <v>39</v>
      </c>
      <c r="C16" s="10">
        <v>46314</v>
      </c>
      <c r="D16" s="9" t="s">
        <v>12</v>
      </c>
      <c r="E16" s="11" t="str">
        <f ca="1">IF(tb_investimentos[[#This Row],[TIPO MOVIMENTAÇÃO]]="Aporte",_xlfn.XLOOKUP(tb_investimentos[[#This Row],[DESCRIÇÃO]],'INFO AÇÕES'!E:E,'INFO AÇÕES'!I:I),"BRL")</f>
        <v>BRL</v>
      </c>
      <c r="F16" s="73" t="s">
        <v>10</v>
      </c>
      <c r="G16" s="11">
        <v>1</v>
      </c>
      <c r="H16" s="12">
        <v>15.42</v>
      </c>
      <c r="I16" s="13" t="s">
        <v>58</v>
      </c>
      <c r="J16" s="51">
        <f t="shared" si="0"/>
        <v>15.42</v>
      </c>
      <c r="K16" s="11" t="s">
        <v>6</v>
      </c>
      <c r="L16">
        <f>MONTH(tb_investimentos[[#This Row],[DATA]])</f>
        <v>10</v>
      </c>
      <c r="M16">
        <f>YEAR(tb_investimentos[[#This Row],[DATA]])</f>
        <v>2026</v>
      </c>
      <c r="N16">
        <f>DAY(tb_investimentos[[#This Row],[DATA]])</f>
        <v>19</v>
      </c>
      <c r="O16">
        <f t="shared" si="1"/>
        <v>13.9275</v>
      </c>
      <c r="P16">
        <f>tb_investimentos[[#This Row],[PREÇO MÉDIO PONDERADO]]*tb_investimentos[[#This Row],[QUANTIDADE]]</f>
        <v>13.9275</v>
      </c>
      <c r="Q16" s="58">
        <f ca="1">IFERROR(_xlfn.XLOOKUP(tb_investimentos[[#This Row],[DESCRIÇÃO]],tb_acoes[Símbolo do ticker],tb_acoes[Preço]),"")</f>
        <v>13.97</v>
      </c>
      <c r="R16" s="58">
        <f ca="1">IFERROR(tb_investimentos[[#This Row],[QUANTIDADE]]*tb_investimentos[[#This Row],[PREÇO MERCADO]],"")</f>
        <v>13.97</v>
      </c>
      <c r="S16" s="58">
        <f ca="1">IFERROR(tb_investimentos[[#This Row],[VALOR TOTAL MERCADO]]-tb_investimentos[[#This Row],[VALOR TOTAL PONDERADO]],"")</f>
        <v>4.2500000000000426E-2</v>
      </c>
      <c r="T16" s="58">
        <f ca="1">IFERROR(_xlfn.XLOOKUP(tb_investimentos[[#This Row],[DESCRIÇÃO]],'INFO AÇÕES'!E:E,'INFO AÇÕES'!H:H),"")</f>
        <v>-9.2200000000000008E-3</v>
      </c>
      <c r="U16" s="59">
        <f ca="1">IFERROR((tb_investimentos[[#This Row],[VALOR TOTAL MERCADO]]-tb_investimentos[[#This Row],[VALOR TOTAL PONDERADO]])/tb_investimentos[[#This Row],[VALOR TOTAL PONDERADO]],"")</f>
        <v>3.0515167833423391E-3</v>
      </c>
    </row>
    <row r="17" spans="2:21" hidden="1" x14ac:dyDescent="0.2">
      <c r="B17" s="13" t="s">
        <v>39</v>
      </c>
      <c r="C17" s="10">
        <v>46315</v>
      </c>
      <c r="D17" s="9" t="s">
        <v>25</v>
      </c>
      <c r="E17" s="11" t="str">
        <f ca="1">IF(tb_investimentos[[#This Row],[TIPO MOVIMENTAÇÃO]]="Aporte",_xlfn.XLOOKUP(tb_investimentos[[#This Row],[DESCRIÇÃO]],'INFO AÇÕES'!E:E,'INFO AÇÕES'!I:I),"BRL")</f>
        <v>BRL</v>
      </c>
      <c r="F17" s="73" t="s">
        <v>10</v>
      </c>
      <c r="G17" s="11">
        <v>1</v>
      </c>
      <c r="H17" s="12">
        <v>32.61</v>
      </c>
      <c r="I17" s="13" t="s">
        <v>58</v>
      </c>
      <c r="J17" s="51">
        <f t="shared" si="0"/>
        <v>32.61</v>
      </c>
      <c r="K17" s="11" t="s">
        <v>6</v>
      </c>
      <c r="L17">
        <f>MONTH(tb_investimentos[[#This Row],[DATA]])</f>
        <v>10</v>
      </c>
      <c r="M17">
        <f>YEAR(tb_investimentos[[#This Row],[DATA]])</f>
        <v>2026</v>
      </c>
      <c r="N17">
        <f>DAY(tb_investimentos[[#This Row],[DATA]])</f>
        <v>20</v>
      </c>
      <c r="O17">
        <f t="shared" si="1"/>
        <v>29.335000000000001</v>
      </c>
      <c r="P17">
        <f>tb_investimentos[[#This Row],[PREÇO MÉDIO PONDERADO]]*tb_investimentos[[#This Row],[QUANTIDADE]]</f>
        <v>29.335000000000001</v>
      </c>
      <c r="Q17" s="58">
        <f ca="1">IFERROR(_xlfn.XLOOKUP(tb_investimentos[[#This Row],[DESCRIÇÃO]],tb_acoes[Símbolo do ticker],tb_acoes[Preço]),"")</f>
        <v>25.43</v>
      </c>
      <c r="R17" s="58">
        <f ca="1">IFERROR(tb_investimentos[[#This Row],[QUANTIDADE]]*tb_investimentos[[#This Row],[PREÇO MERCADO]],"")</f>
        <v>25.43</v>
      </c>
      <c r="S17" s="58">
        <f ca="1">IFERROR(tb_investimentos[[#This Row],[VALOR TOTAL MERCADO]]-tb_investimentos[[#This Row],[VALOR TOTAL PONDERADO]],"")</f>
        <v>-3.9050000000000011</v>
      </c>
      <c r="T17" s="58">
        <f ca="1">IFERROR(_xlfn.XLOOKUP(tb_investimentos[[#This Row],[DESCRIÇÃO]],'INFO AÇÕES'!E:E,'INFO AÇÕES'!H:H),"")</f>
        <v>6.332E-3</v>
      </c>
      <c r="U17" s="59">
        <f ca="1">IFERROR((tb_investimentos[[#This Row],[VALOR TOTAL MERCADO]]-tb_investimentos[[#This Row],[VALOR TOTAL PONDERADO]])/tb_investimentos[[#This Row],[VALOR TOTAL PONDERADO]],"")</f>
        <v>-0.13311743650928928</v>
      </c>
    </row>
    <row r="18" spans="2:21" hidden="1" x14ac:dyDescent="0.2">
      <c r="B18" s="13" t="s">
        <v>39</v>
      </c>
      <c r="C18" s="10">
        <v>46315</v>
      </c>
      <c r="D18" s="9" t="s">
        <v>11</v>
      </c>
      <c r="E18" s="11" t="str">
        <f ca="1">IF(tb_investimentos[[#This Row],[TIPO MOVIMENTAÇÃO]]="Aporte",_xlfn.XLOOKUP(tb_investimentos[[#This Row],[DESCRIÇÃO]],'INFO AÇÕES'!E:E,'INFO AÇÕES'!I:I),"BRL")</f>
        <v>BRL</v>
      </c>
      <c r="F18" s="73" t="s">
        <v>10</v>
      </c>
      <c r="G18" s="11">
        <v>1</v>
      </c>
      <c r="H18" s="12">
        <v>24.04</v>
      </c>
      <c r="I18" s="13" t="s">
        <v>58</v>
      </c>
      <c r="J18" s="51">
        <f t="shared" si="0"/>
        <v>24.04</v>
      </c>
      <c r="K18" s="11" t="s">
        <v>6</v>
      </c>
      <c r="L18">
        <f>MONTH(tb_investimentos[[#This Row],[DATA]])</f>
        <v>10</v>
      </c>
      <c r="M18">
        <f>YEAR(tb_investimentos[[#This Row],[DATA]])</f>
        <v>2026</v>
      </c>
      <c r="N18">
        <f>DAY(tb_investimentos[[#This Row],[DATA]])</f>
        <v>20</v>
      </c>
      <c r="O18">
        <f t="shared" si="1"/>
        <v>19.0425</v>
      </c>
      <c r="P18">
        <f>tb_investimentos[[#This Row],[PREÇO MÉDIO PONDERADO]]*tb_investimentos[[#This Row],[QUANTIDADE]]</f>
        <v>19.0425</v>
      </c>
      <c r="Q18" s="58">
        <f ca="1">IFERROR(_xlfn.XLOOKUP(tb_investimentos[[#This Row],[DESCRIÇÃO]],tb_acoes[Símbolo do ticker],tb_acoes[Preço]),"")</f>
        <v>17.809999999999999</v>
      </c>
      <c r="R18" s="58">
        <f ca="1">IFERROR(tb_investimentos[[#This Row],[QUANTIDADE]]*tb_investimentos[[#This Row],[PREÇO MERCADO]],"")</f>
        <v>17.809999999999999</v>
      </c>
      <c r="S18" s="58">
        <f ca="1">IFERROR(tb_investimentos[[#This Row],[VALOR TOTAL MERCADO]]-tb_investimentos[[#This Row],[VALOR TOTAL PONDERADO]],"")</f>
        <v>-1.2325000000000017</v>
      </c>
      <c r="T18" s="58">
        <f ca="1">IFERROR(_xlfn.XLOOKUP(tb_investimentos[[#This Row],[DESCRIÇÃO]],'INFO AÇÕES'!E:E,'INFO AÇÕES'!H:H),"")</f>
        <v>1.9462E-2</v>
      </c>
      <c r="U18" s="59">
        <f ca="1">IFERROR((tb_investimentos[[#This Row],[VALOR TOTAL MERCADO]]-tb_investimentos[[#This Row],[VALOR TOTAL PONDERADO]])/tb_investimentos[[#This Row],[VALOR TOTAL PONDERADO]],"")</f>
        <v>-6.4723644479453946E-2</v>
      </c>
    </row>
    <row r="19" spans="2:21" hidden="1" x14ac:dyDescent="0.2">
      <c r="B19" s="13" t="s">
        <v>39</v>
      </c>
      <c r="C19" s="10">
        <v>46315</v>
      </c>
      <c r="D19" s="9" t="s">
        <v>22</v>
      </c>
      <c r="E19" s="11" t="str">
        <f ca="1">IF(tb_investimentos[[#This Row],[TIPO MOVIMENTAÇÃO]]="Aporte",_xlfn.XLOOKUP(tb_investimentos[[#This Row],[DESCRIÇÃO]],'INFO AÇÕES'!E:E,'INFO AÇÕES'!I:I),"BRL")</f>
        <v>BRL</v>
      </c>
      <c r="F19" s="73" t="s">
        <v>10</v>
      </c>
      <c r="G19" s="11">
        <v>1</v>
      </c>
      <c r="H19" s="12">
        <v>41.77</v>
      </c>
      <c r="I19" s="13" t="s">
        <v>58</v>
      </c>
      <c r="J19" s="51">
        <f t="shared" si="0"/>
        <v>41.77</v>
      </c>
      <c r="K19" s="11" t="s">
        <v>6</v>
      </c>
      <c r="L19">
        <f>MONTH(tb_investimentos[[#This Row],[DATA]])</f>
        <v>10</v>
      </c>
      <c r="M19">
        <f>YEAR(tb_investimentos[[#This Row],[DATA]])</f>
        <v>2026</v>
      </c>
      <c r="N19">
        <f>DAY(tb_investimentos[[#This Row],[DATA]])</f>
        <v>20</v>
      </c>
      <c r="O19">
        <f t="shared" si="1"/>
        <v>41.77</v>
      </c>
      <c r="P19">
        <f>tb_investimentos[[#This Row],[PREÇO MÉDIO PONDERADO]]*tb_investimentos[[#This Row],[QUANTIDADE]]</f>
        <v>41.77</v>
      </c>
      <c r="Q19" s="58">
        <f ca="1">IFERROR(_xlfn.XLOOKUP(tb_investimentos[[#This Row],[DESCRIÇÃO]],tb_acoes[Símbolo do ticker],tb_acoes[Preço]),"")</f>
        <v>43.32</v>
      </c>
      <c r="R19" s="58">
        <f ca="1">IFERROR(tb_investimentos[[#This Row],[QUANTIDADE]]*tb_investimentos[[#This Row],[PREÇO MERCADO]],"")</f>
        <v>43.32</v>
      </c>
      <c r="S19" s="58">
        <f ca="1">IFERROR(tb_investimentos[[#This Row],[VALOR TOTAL MERCADO]]-tb_investimentos[[#This Row],[VALOR TOTAL PONDERADO]],"")</f>
        <v>1.5499999999999972</v>
      </c>
      <c r="T19" s="58">
        <f ca="1">IFERROR(_xlfn.XLOOKUP(tb_investimentos[[#This Row],[DESCRIÇÃO]],'INFO AÇÕES'!E:E,'INFO AÇÕES'!H:H),"")</f>
        <v>4.1720000000000004E-3</v>
      </c>
      <c r="U19" s="59">
        <f ca="1">IFERROR((tb_investimentos[[#This Row],[VALOR TOTAL MERCADO]]-tb_investimentos[[#This Row],[VALOR TOTAL PONDERADO]])/tb_investimentos[[#This Row],[VALOR TOTAL PONDERADO]],"")</f>
        <v>3.7107972228872327E-2</v>
      </c>
    </row>
    <row r="20" spans="2:21" hidden="1" x14ac:dyDescent="0.2">
      <c r="B20" s="13" t="s">
        <v>39</v>
      </c>
      <c r="C20" s="10">
        <v>46315</v>
      </c>
      <c r="D20" s="9" t="s">
        <v>23</v>
      </c>
      <c r="E20" s="11" t="str">
        <f ca="1">IF(tb_investimentos[[#This Row],[TIPO MOVIMENTAÇÃO]]="Aporte",_xlfn.XLOOKUP(tb_investimentos[[#This Row],[DESCRIÇÃO]],'INFO AÇÕES'!E:E,'INFO AÇÕES'!I:I),"BRL")</f>
        <v>BRL</v>
      </c>
      <c r="F20" s="73" t="s">
        <v>10</v>
      </c>
      <c r="G20" s="11">
        <v>1</v>
      </c>
      <c r="H20" s="12">
        <v>49.5</v>
      </c>
      <c r="I20" s="13" t="s">
        <v>58</v>
      </c>
      <c r="J20" s="51">
        <f t="shared" si="0"/>
        <v>49.5</v>
      </c>
      <c r="K20" s="11" t="s">
        <v>6</v>
      </c>
      <c r="L20">
        <f>MONTH(tb_investimentos[[#This Row],[DATA]])</f>
        <v>10</v>
      </c>
      <c r="M20">
        <f>YEAR(tb_investimentos[[#This Row],[DATA]])</f>
        <v>2026</v>
      </c>
      <c r="N20">
        <f>DAY(tb_investimentos[[#This Row],[DATA]])</f>
        <v>20</v>
      </c>
      <c r="O20">
        <f t="shared" si="1"/>
        <v>40.853333333333332</v>
      </c>
      <c r="P20">
        <f>tb_investimentos[[#This Row],[PREÇO MÉDIO PONDERADO]]*tb_investimentos[[#This Row],[QUANTIDADE]]</f>
        <v>40.853333333333332</v>
      </c>
      <c r="Q20" s="58">
        <f ca="1">IFERROR(_xlfn.XLOOKUP(tb_investimentos[[#This Row],[DESCRIÇÃO]],tb_acoes[Símbolo do ticker],tb_acoes[Preço]),"")</f>
        <v>35.67</v>
      </c>
      <c r="R20" s="58">
        <f ca="1">IFERROR(tb_investimentos[[#This Row],[QUANTIDADE]]*tb_investimentos[[#This Row],[PREÇO MERCADO]],"")</f>
        <v>35.67</v>
      </c>
      <c r="S20" s="58">
        <f ca="1">IFERROR(tb_investimentos[[#This Row],[VALOR TOTAL MERCADO]]-tb_investimentos[[#This Row],[VALOR TOTAL PONDERADO]],"")</f>
        <v>-5.18333333333333</v>
      </c>
      <c r="T20" s="58">
        <f ca="1">IFERROR(_xlfn.XLOOKUP(tb_investimentos[[#This Row],[DESCRIÇÃO]],'INFO AÇÕES'!E:E,'INFO AÇÕES'!H:H),"")</f>
        <v>2.3822999999999997E-2</v>
      </c>
      <c r="U20" s="59">
        <f ca="1">IFERROR((tb_investimentos[[#This Row],[VALOR TOTAL MERCADO]]-tb_investimentos[[#This Row],[VALOR TOTAL PONDERADO]])/tb_investimentos[[#This Row],[VALOR TOTAL PONDERADO]],"")</f>
        <v>-0.12687663185378584</v>
      </c>
    </row>
    <row r="21" spans="2:21" hidden="1" x14ac:dyDescent="0.2">
      <c r="B21" s="13" t="s">
        <v>72</v>
      </c>
      <c r="C21" s="72">
        <v>46331</v>
      </c>
      <c r="D21" s="9" t="s">
        <v>76</v>
      </c>
      <c r="E21" s="11" t="str">
        <f>IF(tb_investimentos[[#This Row],[TIPO MOVIMENTAÇÃO]]="Aporte",_xlfn.XLOOKUP(tb_investimentos[[#This Row],[DESCRIÇÃO]],'INFO AÇÕES'!E:E,'INFO AÇÕES'!I:I),"BRL")</f>
        <v>BRL</v>
      </c>
      <c r="F21" s="75" t="s">
        <v>73</v>
      </c>
      <c r="G21" s="11">
        <v>1</v>
      </c>
      <c r="H21" s="12">
        <v>8000</v>
      </c>
      <c r="I21" s="13" t="s">
        <v>107</v>
      </c>
      <c r="J21" s="51">
        <f t="shared" si="0"/>
        <v>8000</v>
      </c>
      <c r="K21" s="13" t="s">
        <v>105</v>
      </c>
      <c r="L21">
        <f>MONTH(tb_investimentos[[#This Row],[DATA]])</f>
        <v>11</v>
      </c>
      <c r="M21">
        <f>YEAR(tb_investimentos[[#This Row],[DATA]])</f>
        <v>2026</v>
      </c>
      <c r="N21">
        <f>DAY(tb_investimentos[[#This Row],[DATA]])</f>
        <v>5</v>
      </c>
      <c r="O21">
        <f t="shared" si="1"/>
        <v>7801.7948717948721</v>
      </c>
      <c r="P21">
        <f>tb_investimentos[[#This Row],[PREÇO MÉDIO PONDERADO]]*tb_investimentos[[#This Row],[QUANTIDADE]]</f>
        <v>7801.7948717948721</v>
      </c>
      <c r="Q21" s="58" t="str">
        <f ca="1">IFERROR(_xlfn.XLOOKUP(tb_investimentos[[#This Row],[DESCRIÇÃO]],tb_acoes[Símbolo do ticker],tb_acoes[Preço]),"")</f>
        <v/>
      </c>
      <c r="R21" s="58" t="str">
        <f ca="1">IFERROR(tb_investimentos[[#This Row],[QUANTIDADE]]*tb_investimentos[[#This Row],[PREÇO MERCADO]],"")</f>
        <v/>
      </c>
      <c r="S21" s="58" t="str">
        <f ca="1">IFERROR(tb_investimentos[[#This Row],[VALOR TOTAL MERCADO]]-tb_investimentos[[#This Row],[VALOR TOTAL PONDERADO]],"")</f>
        <v/>
      </c>
      <c r="T21" s="58" t="str">
        <f ca="1">IFERROR(_xlfn.XLOOKUP(tb_investimentos[[#This Row],[DESCRIÇÃO]],'INFO AÇÕES'!E:E,'INFO AÇÕES'!H:H),"")</f>
        <v/>
      </c>
      <c r="U21" s="59" t="str">
        <f ca="1">IFERROR((tb_investimentos[[#This Row],[VALOR TOTAL MERCADO]]-tb_investimentos[[#This Row],[VALOR TOTAL PONDERADO]])/tb_investimentos[[#This Row],[VALOR TOTAL PONDERADO]],"")</f>
        <v/>
      </c>
    </row>
    <row r="22" spans="2:21" hidden="1" x14ac:dyDescent="0.2">
      <c r="B22" s="13" t="s">
        <v>72</v>
      </c>
      <c r="C22" s="10">
        <v>46331</v>
      </c>
      <c r="D22" s="9" t="s">
        <v>75</v>
      </c>
      <c r="E22" s="11" t="str">
        <f>IF(tb_investimentos[[#This Row],[TIPO MOVIMENTAÇÃO]]="Aporte",_xlfn.XLOOKUP(tb_investimentos[[#This Row],[DESCRIÇÃO]],'INFO AÇÕES'!E:E,'INFO AÇÕES'!I:I),"BRL")</f>
        <v>BRL</v>
      </c>
      <c r="F22" s="75" t="s">
        <v>74</v>
      </c>
      <c r="G22" s="11">
        <v>1</v>
      </c>
      <c r="H22" s="12">
        <v>1400</v>
      </c>
      <c r="I22" s="13" t="s">
        <v>107</v>
      </c>
      <c r="J22" s="51">
        <f t="shared" si="0"/>
        <v>1400</v>
      </c>
      <c r="K22" s="13" t="s">
        <v>105</v>
      </c>
      <c r="L22">
        <f>MONTH(tb_investimentos[[#This Row],[DATA]])</f>
        <v>11</v>
      </c>
      <c r="M22">
        <f>YEAR(tb_investimentos[[#This Row],[DATA]])</f>
        <v>2026</v>
      </c>
      <c r="N22">
        <f>DAY(tb_investimentos[[#This Row],[DATA]])</f>
        <v>5</v>
      </c>
      <c r="O22">
        <f t="shared" si="1"/>
        <v>770</v>
      </c>
      <c r="P22">
        <f>tb_investimentos[[#This Row],[PREÇO MÉDIO PONDERADO]]*tb_investimentos[[#This Row],[QUANTIDADE]]</f>
        <v>770</v>
      </c>
      <c r="Q22" s="58" t="str">
        <f ca="1">IFERROR(_xlfn.XLOOKUP(tb_investimentos[[#This Row],[DESCRIÇÃO]],tb_acoes[Símbolo do ticker],tb_acoes[Preço]),"")</f>
        <v/>
      </c>
      <c r="R22" s="58" t="str">
        <f ca="1">IFERROR(tb_investimentos[[#This Row],[QUANTIDADE]]*tb_investimentos[[#This Row],[PREÇO MERCADO]],"")</f>
        <v/>
      </c>
      <c r="S22" s="58" t="str">
        <f ca="1">IFERROR(tb_investimentos[[#This Row],[VALOR TOTAL MERCADO]]-tb_investimentos[[#This Row],[VALOR TOTAL PONDERADO]],"")</f>
        <v/>
      </c>
      <c r="T22" s="58" t="str">
        <f ca="1">IFERROR(_xlfn.XLOOKUP(tb_investimentos[[#This Row],[DESCRIÇÃO]],'INFO AÇÕES'!E:E,'INFO AÇÕES'!H:H),"")</f>
        <v/>
      </c>
      <c r="U22" s="59" t="str">
        <f ca="1">IFERROR((tb_investimentos[[#This Row],[VALOR TOTAL MERCADO]]-tb_investimentos[[#This Row],[VALOR TOTAL PONDERADO]])/tb_investimentos[[#This Row],[VALOR TOTAL PONDERADO]],"")</f>
        <v/>
      </c>
    </row>
    <row r="23" spans="2:21" hidden="1" x14ac:dyDescent="0.2">
      <c r="B23" s="13" t="s">
        <v>77</v>
      </c>
      <c r="C23" s="10">
        <v>46331</v>
      </c>
      <c r="D23" s="9" t="s">
        <v>98</v>
      </c>
      <c r="E23" s="11" t="str">
        <f>IF(tb_investimentos[[#This Row],[TIPO MOVIMENTAÇÃO]]="Aporte",_xlfn.XLOOKUP(tb_investimentos[[#This Row],[DESCRIÇÃO]],'INFO AÇÕES'!E:E,'INFO AÇÕES'!I:I),"BRL")</f>
        <v>BRL</v>
      </c>
      <c r="F23" s="75" t="s">
        <v>96</v>
      </c>
      <c r="G23" s="11">
        <v>1</v>
      </c>
      <c r="H23" s="12">
        <v>833</v>
      </c>
      <c r="I23" s="13" t="s">
        <v>107</v>
      </c>
      <c r="J23" s="51">
        <f t="shared" si="0"/>
        <v>833</v>
      </c>
      <c r="K23" s="13" t="s">
        <v>105</v>
      </c>
      <c r="L23">
        <f>MONTH(tb_investimentos[[#This Row],[DATA]])</f>
        <v>11</v>
      </c>
      <c r="M23">
        <f>YEAR(tb_investimentos[[#This Row],[DATA]])</f>
        <v>2026</v>
      </c>
      <c r="N23">
        <f>DAY(tb_investimentos[[#This Row],[DATA]])</f>
        <v>5</v>
      </c>
      <c r="O23">
        <f t="shared" si="1"/>
        <v>944.33333333333337</v>
      </c>
      <c r="P23">
        <f>tb_investimentos[[#This Row],[PREÇO MÉDIO PONDERADO]]*tb_investimentos[[#This Row],[QUANTIDADE]]</f>
        <v>944.33333333333337</v>
      </c>
      <c r="Q23" s="58" t="str">
        <f ca="1">IFERROR(_xlfn.XLOOKUP(tb_investimentos[[#This Row],[DESCRIÇÃO]],tb_acoes[Símbolo do ticker],tb_acoes[Preço]),"")</f>
        <v/>
      </c>
      <c r="R23" s="58" t="str">
        <f ca="1">IFERROR(tb_investimentos[[#This Row],[QUANTIDADE]]*tb_investimentos[[#This Row],[PREÇO MERCADO]],"")</f>
        <v/>
      </c>
      <c r="S23" s="58" t="str">
        <f ca="1">IFERROR(tb_investimentos[[#This Row],[VALOR TOTAL MERCADO]]-tb_investimentos[[#This Row],[VALOR TOTAL PONDERADO]],"")</f>
        <v/>
      </c>
      <c r="T23" s="58" t="str">
        <f ca="1">IFERROR(_xlfn.XLOOKUP(tb_investimentos[[#This Row],[DESCRIÇÃO]],'INFO AÇÕES'!E:E,'INFO AÇÕES'!H:H),"")</f>
        <v/>
      </c>
      <c r="U23" s="59" t="str">
        <f ca="1">IFERROR((tb_investimentos[[#This Row],[VALOR TOTAL MERCADO]]-tb_investimentos[[#This Row],[VALOR TOTAL PONDERADO]])/tb_investimentos[[#This Row],[VALOR TOTAL PONDERADO]],"")</f>
        <v/>
      </c>
    </row>
    <row r="24" spans="2:21" hidden="1" x14ac:dyDescent="0.2">
      <c r="B24" s="13" t="s">
        <v>77</v>
      </c>
      <c r="C24" s="10">
        <v>46331</v>
      </c>
      <c r="D24" s="9" t="s">
        <v>98</v>
      </c>
      <c r="E24" s="11" t="str">
        <f>IF(tb_investimentos[[#This Row],[TIPO MOVIMENTAÇÃO]]="Aporte",_xlfn.XLOOKUP(tb_investimentos[[#This Row],[DESCRIÇÃO]],'INFO AÇÕES'!E:E,'INFO AÇÕES'!I:I),"BRL")</f>
        <v>BRL</v>
      </c>
      <c r="F24" s="75" t="s">
        <v>97</v>
      </c>
      <c r="G24" s="11">
        <v>1</v>
      </c>
      <c r="H24" s="12">
        <v>1000</v>
      </c>
      <c r="I24" s="13" t="s">
        <v>107</v>
      </c>
      <c r="J24" s="51">
        <f t="shared" si="0"/>
        <v>1000</v>
      </c>
      <c r="K24" s="13" t="s">
        <v>105</v>
      </c>
      <c r="L24">
        <f>MONTH(tb_investimentos[[#This Row],[DATA]])</f>
        <v>11</v>
      </c>
      <c r="M24">
        <f>YEAR(tb_investimentos[[#This Row],[DATA]])</f>
        <v>2026</v>
      </c>
      <c r="N24">
        <f>DAY(tb_investimentos[[#This Row],[DATA]])</f>
        <v>5</v>
      </c>
      <c r="O24">
        <f t="shared" si="1"/>
        <v>944.33333333333337</v>
      </c>
      <c r="P24">
        <f>tb_investimentos[[#This Row],[PREÇO MÉDIO PONDERADO]]*tb_investimentos[[#This Row],[QUANTIDADE]]</f>
        <v>944.33333333333337</v>
      </c>
      <c r="Q24" s="58" t="str">
        <f ca="1">IFERROR(_xlfn.XLOOKUP(tb_investimentos[[#This Row],[DESCRIÇÃO]],tb_acoes[Símbolo do ticker],tb_acoes[Preço]),"")</f>
        <v/>
      </c>
      <c r="R24" s="58" t="str">
        <f ca="1">IFERROR(tb_investimentos[[#This Row],[QUANTIDADE]]*tb_investimentos[[#This Row],[PREÇO MERCADO]],"")</f>
        <v/>
      </c>
      <c r="S24" s="58" t="str">
        <f ca="1">IFERROR(tb_investimentos[[#This Row],[VALOR TOTAL MERCADO]]-tb_investimentos[[#This Row],[VALOR TOTAL PONDERADO]],"")</f>
        <v/>
      </c>
      <c r="T24" s="58" t="str">
        <f ca="1">IFERROR(_xlfn.XLOOKUP(tb_investimentos[[#This Row],[DESCRIÇÃO]],'INFO AÇÕES'!E:E,'INFO AÇÕES'!H:H),"")</f>
        <v/>
      </c>
      <c r="U24" s="59" t="str">
        <f ca="1">IFERROR((tb_investimentos[[#This Row],[VALOR TOTAL MERCADO]]-tb_investimentos[[#This Row],[VALOR TOTAL PONDERADO]])/tb_investimentos[[#This Row],[VALOR TOTAL PONDERADO]],"")</f>
        <v/>
      </c>
    </row>
    <row r="25" spans="2:21" hidden="1" x14ac:dyDescent="0.2">
      <c r="B25" s="13" t="s">
        <v>77</v>
      </c>
      <c r="C25" s="10">
        <v>46331</v>
      </c>
      <c r="D25" s="9" t="s">
        <v>92</v>
      </c>
      <c r="E25" s="11" t="str">
        <f>IF(tb_investimentos[[#This Row],[TIPO MOVIMENTAÇÃO]]="Aporte",_xlfn.XLOOKUP(tb_investimentos[[#This Row],[DESCRIÇÃO]],'INFO AÇÕES'!E:E,'INFO AÇÕES'!I:I),"BRL")</f>
        <v>BRL</v>
      </c>
      <c r="F25" s="75" t="s">
        <v>93</v>
      </c>
      <c r="G25" s="11">
        <v>1</v>
      </c>
      <c r="H25" s="12">
        <v>205</v>
      </c>
      <c r="I25" s="13" t="s">
        <v>107</v>
      </c>
      <c r="J25" s="51">
        <f t="shared" si="0"/>
        <v>205</v>
      </c>
      <c r="K25" s="13" t="s">
        <v>105</v>
      </c>
      <c r="L25">
        <f>MONTH(tb_investimentos[[#This Row],[DATA]])</f>
        <v>11</v>
      </c>
      <c r="M25">
        <f>YEAR(tb_investimentos[[#This Row],[DATA]])</f>
        <v>2026</v>
      </c>
      <c r="N25">
        <f>DAY(tb_investimentos[[#This Row],[DATA]])</f>
        <v>5</v>
      </c>
      <c r="O25">
        <f t="shared" si="1"/>
        <v>205</v>
      </c>
      <c r="P25">
        <f>tb_investimentos[[#This Row],[PREÇO MÉDIO PONDERADO]]*tb_investimentos[[#This Row],[QUANTIDADE]]</f>
        <v>205</v>
      </c>
      <c r="Q25" s="58" t="str">
        <f ca="1">IFERROR(_xlfn.XLOOKUP(tb_investimentos[[#This Row],[DESCRIÇÃO]],tb_acoes[Símbolo do ticker],tb_acoes[Preço]),"")</f>
        <v/>
      </c>
      <c r="R25" s="58" t="str">
        <f ca="1">IFERROR(tb_investimentos[[#This Row],[QUANTIDADE]]*tb_investimentos[[#This Row],[PREÇO MERCADO]],"")</f>
        <v/>
      </c>
      <c r="S25" s="58" t="str">
        <f ca="1">IFERROR(tb_investimentos[[#This Row],[VALOR TOTAL MERCADO]]-tb_investimentos[[#This Row],[VALOR TOTAL PONDERADO]],"")</f>
        <v/>
      </c>
      <c r="T25" s="58" t="str">
        <f ca="1">IFERROR(_xlfn.XLOOKUP(tb_investimentos[[#This Row],[DESCRIÇÃO]],'INFO AÇÕES'!E:E,'INFO AÇÕES'!H:H),"")</f>
        <v/>
      </c>
      <c r="U25" s="59" t="str">
        <f ca="1">IFERROR((tb_investimentos[[#This Row],[VALOR TOTAL MERCADO]]-tb_investimentos[[#This Row],[VALOR TOTAL PONDERADO]])/tb_investimentos[[#This Row],[VALOR TOTAL PONDERADO]],"")</f>
        <v/>
      </c>
    </row>
    <row r="26" spans="2:21" hidden="1" x14ac:dyDescent="0.2">
      <c r="B26" s="13" t="s">
        <v>77</v>
      </c>
      <c r="C26" s="10">
        <v>46331</v>
      </c>
      <c r="D26" s="9" t="s">
        <v>107</v>
      </c>
      <c r="E26" s="11" t="str">
        <f>IF(tb_investimentos[[#This Row],[TIPO MOVIMENTAÇÃO]]="Aporte",_xlfn.XLOOKUP(tb_investimentos[[#This Row],[DESCRIÇÃO]],'INFO AÇÕES'!E:E,'INFO AÇÕES'!I:I),"BRL")</f>
        <v>BRL</v>
      </c>
      <c r="F26" s="75" t="s">
        <v>106</v>
      </c>
      <c r="G26" s="11">
        <v>1</v>
      </c>
      <c r="H26" s="12">
        <v>1150</v>
      </c>
      <c r="I26" s="13" t="s">
        <v>107</v>
      </c>
      <c r="J26" s="51">
        <f t="shared" si="0"/>
        <v>1150</v>
      </c>
      <c r="K26" s="13" t="s">
        <v>105</v>
      </c>
      <c r="L26">
        <f>MONTH(tb_investimentos[[#This Row],[DATA]])</f>
        <v>11</v>
      </c>
      <c r="M26">
        <f>YEAR(tb_investimentos[[#This Row],[DATA]])</f>
        <v>2026</v>
      </c>
      <c r="N26">
        <f>DAY(tb_investimentos[[#This Row],[DATA]])</f>
        <v>5</v>
      </c>
      <c r="O26">
        <f t="shared" si="1"/>
        <v>515.93333333333328</v>
      </c>
      <c r="P26">
        <f>tb_investimentos[[#This Row],[PREÇO MÉDIO PONDERADO]]*tb_investimentos[[#This Row],[QUANTIDADE]]</f>
        <v>515.93333333333328</v>
      </c>
      <c r="Q26" s="58" t="str">
        <f ca="1">IFERROR(_xlfn.XLOOKUP(tb_investimentos[[#This Row],[DESCRIÇÃO]],tb_acoes[Símbolo do ticker],tb_acoes[Preço]),"")</f>
        <v/>
      </c>
      <c r="R26" s="58" t="str">
        <f ca="1">IFERROR(tb_investimentos[[#This Row],[QUANTIDADE]]*tb_investimentos[[#This Row],[PREÇO MERCADO]],"")</f>
        <v/>
      </c>
      <c r="S26" s="58" t="str">
        <f ca="1">IFERROR(tb_investimentos[[#This Row],[VALOR TOTAL MERCADO]]-tb_investimentos[[#This Row],[VALOR TOTAL PONDERADO]],"")</f>
        <v/>
      </c>
      <c r="T26" s="58" t="str">
        <f ca="1">IFERROR(_xlfn.XLOOKUP(tb_investimentos[[#This Row],[DESCRIÇÃO]],'INFO AÇÕES'!E:E,'INFO AÇÕES'!H:H),"")</f>
        <v/>
      </c>
      <c r="U26" s="59" t="str">
        <f ca="1">IFERROR((tb_investimentos[[#This Row],[VALOR TOTAL MERCADO]]-tb_investimentos[[#This Row],[VALOR TOTAL PONDERADO]])/tb_investimentos[[#This Row],[VALOR TOTAL PONDERADO]],"")</f>
        <v/>
      </c>
    </row>
    <row r="27" spans="2:21" hidden="1" x14ac:dyDescent="0.2">
      <c r="B27" s="13" t="s">
        <v>39</v>
      </c>
      <c r="C27" s="10">
        <v>46331</v>
      </c>
      <c r="D27" s="9"/>
      <c r="E27" s="11">
        <f ca="1">IF(tb_investimentos[[#This Row],[TIPO MOVIMENTAÇÃO]]="Aporte",_xlfn.XLOOKUP(tb_investimentos[[#This Row],[DESCRIÇÃO]],'INFO AÇÕES'!E:E,'INFO AÇÕES'!I:I),"BRL")</f>
        <v>0</v>
      </c>
      <c r="F27" s="73" t="s">
        <v>10</v>
      </c>
      <c r="G27" s="11">
        <v>1</v>
      </c>
      <c r="H27" s="12">
        <v>2000</v>
      </c>
      <c r="I27" s="13" t="s">
        <v>58</v>
      </c>
      <c r="J27" s="51">
        <f t="shared" si="0"/>
        <v>2000</v>
      </c>
      <c r="K27" s="11" t="s">
        <v>105</v>
      </c>
      <c r="L27">
        <f>MONTH(tb_investimentos[[#This Row],[DATA]])</f>
        <v>11</v>
      </c>
      <c r="M27">
        <f>YEAR(tb_investimentos[[#This Row],[DATA]])</f>
        <v>2026</v>
      </c>
      <c r="N27">
        <f>DAY(tb_investimentos[[#This Row],[DATA]])</f>
        <v>5</v>
      </c>
      <c r="O27" t="e">
        <f t="shared" si="1"/>
        <v>#DIV/0!</v>
      </c>
      <c r="P27" t="e">
        <f>tb_investimentos[[#This Row],[PREÇO MÉDIO PONDERADO]]*tb_investimentos[[#This Row],[QUANTIDADE]]</f>
        <v>#DIV/0!</v>
      </c>
      <c r="Q27" s="58" t="str">
        <f ca="1">IFERROR(_xlfn.XLOOKUP(tb_investimentos[[#This Row],[DESCRIÇÃO]],tb_acoes[Símbolo do ticker],tb_acoes[Preço]),"")</f>
        <v/>
      </c>
      <c r="R27" s="58" t="str">
        <f ca="1">IFERROR(tb_investimentos[[#This Row],[QUANTIDADE]]*tb_investimentos[[#This Row],[PREÇO MERCADO]],"")</f>
        <v/>
      </c>
      <c r="S27" s="58" t="str">
        <f ca="1">IFERROR(tb_investimentos[[#This Row],[VALOR TOTAL MERCADO]]-tb_investimentos[[#This Row],[VALOR TOTAL PONDERADO]],"")</f>
        <v/>
      </c>
      <c r="T27" s="58" t="str">
        <f ca="1">IFERROR(_xlfn.XLOOKUP(tb_investimentos[[#This Row],[DESCRIÇÃO]],'INFO AÇÕES'!E:E,'INFO AÇÕES'!H:H),"")</f>
        <v/>
      </c>
      <c r="U27" s="59" t="str">
        <f ca="1">IFERROR((tb_investimentos[[#This Row],[VALOR TOTAL MERCADO]]-tb_investimentos[[#This Row],[VALOR TOTAL PONDERADO]])/tb_investimentos[[#This Row],[VALOR TOTAL PONDERADO]],"")</f>
        <v/>
      </c>
    </row>
    <row r="28" spans="2:21" hidden="1" x14ac:dyDescent="0.2">
      <c r="B28" s="13" t="s">
        <v>77</v>
      </c>
      <c r="C28" s="10">
        <v>46332</v>
      </c>
      <c r="D28" s="9" t="s">
        <v>86</v>
      </c>
      <c r="E28" s="11" t="str">
        <f>IF(tb_investimentos[[#This Row],[TIPO MOVIMENTAÇÃO]]="Aporte",_xlfn.XLOOKUP(tb_investimentos[[#This Row],[DESCRIÇÃO]],'INFO AÇÕES'!E:E,'INFO AÇÕES'!I:I),"BRL")</f>
        <v>BRL</v>
      </c>
      <c r="F28" s="75" t="s">
        <v>103</v>
      </c>
      <c r="G28" s="11">
        <v>1</v>
      </c>
      <c r="H28" s="12">
        <v>650</v>
      </c>
      <c r="I28" s="13" t="s">
        <v>107</v>
      </c>
      <c r="J28" s="51">
        <f t="shared" si="0"/>
        <v>650</v>
      </c>
      <c r="K28" s="13" t="s">
        <v>105</v>
      </c>
      <c r="L28">
        <f>MONTH(tb_investimentos[[#This Row],[DATA]])</f>
        <v>11</v>
      </c>
      <c r="M28">
        <f>YEAR(tb_investimentos[[#This Row],[DATA]])</f>
        <v>2026</v>
      </c>
      <c r="N28">
        <f>DAY(tb_investimentos[[#This Row],[DATA]])</f>
        <v>6</v>
      </c>
      <c r="O28">
        <f t="shared" si="1"/>
        <v>650</v>
      </c>
      <c r="P28">
        <f>tb_investimentos[[#This Row],[PREÇO MÉDIO PONDERADO]]*tb_investimentos[[#This Row],[QUANTIDADE]]</f>
        <v>650</v>
      </c>
      <c r="Q28" s="58" t="str">
        <f ca="1">IFERROR(_xlfn.XLOOKUP(tb_investimentos[[#This Row],[DESCRIÇÃO]],tb_acoes[Símbolo do ticker],tb_acoes[Preço]),"")</f>
        <v/>
      </c>
      <c r="R28" s="58" t="str">
        <f ca="1">IFERROR(tb_investimentos[[#This Row],[QUANTIDADE]]*tb_investimentos[[#This Row],[PREÇO MERCADO]],"")</f>
        <v/>
      </c>
      <c r="S28" s="58" t="str">
        <f ca="1">IFERROR(tb_investimentos[[#This Row],[VALOR TOTAL MERCADO]]-tb_investimentos[[#This Row],[VALOR TOTAL PONDERADO]],"")</f>
        <v/>
      </c>
      <c r="T28" s="58" t="str">
        <f ca="1">IFERROR(_xlfn.XLOOKUP(tb_investimentos[[#This Row],[DESCRIÇÃO]],'INFO AÇÕES'!E:E,'INFO AÇÕES'!H:H),"")</f>
        <v/>
      </c>
      <c r="U28" s="59" t="str">
        <f ca="1">IFERROR((tb_investimentos[[#This Row],[VALOR TOTAL MERCADO]]-tb_investimentos[[#This Row],[VALOR TOTAL PONDERADO]])/tb_investimentos[[#This Row],[VALOR TOTAL PONDERADO]],"")</f>
        <v/>
      </c>
    </row>
    <row r="29" spans="2:21" hidden="1" x14ac:dyDescent="0.2">
      <c r="B29" s="13" t="s">
        <v>72</v>
      </c>
      <c r="C29" s="10">
        <v>46332</v>
      </c>
      <c r="D29" s="9" t="s">
        <v>115</v>
      </c>
      <c r="E29" s="11" t="str">
        <f>IF(tb_investimentos[[#This Row],[TIPO MOVIMENTAÇÃO]]="Aporte",_xlfn.XLOOKUP(tb_investimentos[[#This Row],[DESCRIÇÃO]],'INFO AÇÕES'!E:E,'INFO AÇÕES'!I:I),"BRL")</f>
        <v>BRL</v>
      </c>
      <c r="F29" s="75" t="s">
        <v>114</v>
      </c>
      <c r="G29" s="11">
        <v>1</v>
      </c>
      <c r="H29" s="12">
        <v>4710</v>
      </c>
      <c r="I29" s="13" t="s">
        <v>107</v>
      </c>
      <c r="J29" s="51">
        <f t="shared" si="0"/>
        <v>4710</v>
      </c>
      <c r="K29" s="13" t="s">
        <v>105</v>
      </c>
      <c r="L29">
        <f>MONTH(tb_investimentos[[#This Row],[DATA]])</f>
        <v>11</v>
      </c>
      <c r="M29">
        <f>YEAR(tb_investimentos[[#This Row],[DATA]])</f>
        <v>2026</v>
      </c>
      <c r="N29">
        <f>DAY(tb_investimentos[[#This Row],[DATA]])</f>
        <v>6</v>
      </c>
      <c r="O29">
        <f t="shared" si="1"/>
        <v>4710</v>
      </c>
      <c r="P29">
        <f>tb_investimentos[[#This Row],[PREÇO MÉDIO PONDERADO]]*tb_investimentos[[#This Row],[QUANTIDADE]]</f>
        <v>4710</v>
      </c>
      <c r="Q29" s="58" t="str">
        <f ca="1">IFERROR(_xlfn.XLOOKUP(tb_investimentos[[#This Row],[DESCRIÇÃO]],tb_acoes[Símbolo do ticker],tb_acoes[Preço]),"")</f>
        <v/>
      </c>
      <c r="R29" s="58" t="str">
        <f ca="1">IFERROR(tb_investimentos[[#This Row],[QUANTIDADE]]*tb_investimentos[[#This Row],[PREÇO MERCADO]],"")</f>
        <v/>
      </c>
      <c r="S29" s="58" t="str">
        <f ca="1">IFERROR(tb_investimentos[[#This Row],[VALOR TOTAL MERCADO]]-tb_investimentos[[#This Row],[VALOR TOTAL PONDERADO]],"")</f>
        <v/>
      </c>
      <c r="T29" s="58" t="str">
        <f ca="1">IFERROR(_xlfn.XLOOKUP(tb_investimentos[[#This Row],[DESCRIÇÃO]],'INFO AÇÕES'!E:E,'INFO AÇÕES'!H:H),"")</f>
        <v/>
      </c>
      <c r="U29" s="59" t="str">
        <f ca="1">IFERROR((tb_investimentos[[#This Row],[VALOR TOTAL MERCADO]]-tb_investimentos[[#This Row],[VALOR TOTAL PONDERADO]])/tb_investimentos[[#This Row],[VALOR TOTAL PONDERADO]],"")</f>
        <v/>
      </c>
    </row>
    <row r="30" spans="2:21" hidden="1" x14ac:dyDescent="0.2">
      <c r="B30" s="13" t="s">
        <v>72</v>
      </c>
      <c r="C30" s="10">
        <v>46332</v>
      </c>
      <c r="D30" s="9" t="s">
        <v>115</v>
      </c>
      <c r="E30" s="11" t="str">
        <f>IF(tb_investimentos[[#This Row],[TIPO MOVIMENTAÇÃO]]="Aporte",_xlfn.XLOOKUP(tb_investimentos[[#This Row],[DESCRIÇÃO]],'INFO AÇÕES'!E:E,'INFO AÇÕES'!I:I),"BRL")</f>
        <v>BRL</v>
      </c>
      <c r="F30" s="75" t="s">
        <v>114</v>
      </c>
      <c r="G30" s="11">
        <v>1</v>
      </c>
      <c r="H30" s="12">
        <v>4710</v>
      </c>
      <c r="I30" s="13" t="s">
        <v>107</v>
      </c>
      <c r="J30" s="51">
        <f t="shared" si="0"/>
        <v>4710</v>
      </c>
      <c r="K30" s="13" t="s">
        <v>105</v>
      </c>
      <c r="L30">
        <f>MONTH(tb_investimentos[[#This Row],[DATA]])</f>
        <v>11</v>
      </c>
      <c r="M30">
        <f>YEAR(tb_investimentos[[#This Row],[DATA]])</f>
        <v>2026</v>
      </c>
      <c r="N30">
        <f>DAY(tb_investimentos[[#This Row],[DATA]])</f>
        <v>6</v>
      </c>
      <c r="O30">
        <f t="shared" si="1"/>
        <v>4710</v>
      </c>
      <c r="P30">
        <f>tb_investimentos[[#This Row],[PREÇO MÉDIO PONDERADO]]*tb_investimentos[[#This Row],[QUANTIDADE]]</f>
        <v>4710</v>
      </c>
      <c r="Q30" s="58" t="str">
        <f ca="1">IFERROR(_xlfn.XLOOKUP(tb_investimentos[[#This Row],[DESCRIÇÃO]],tb_acoes[Símbolo do ticker],tb_acoes[Preço]),"")</f>
        <v/>
      </c>
      <c r="R30" s="58" t="str">
        <f ca="1">IFERROR(tb_investimentos[[#This Row],[QUANTIDADE]]*tb_investimentos[[#This Row],[PREÇO MERCADO]],"")</f>
        <v/>
      </c>
      <c r="S30" s="58" t="str">
        <f ca="1">IFERROR(tb_investimentos[[#This Row],[VALOR TOTAL MERCADO]]-tb_investimentos[[#This Row],[VALOR TOTAL PONDERADO]],"")</f>
        <v/>
      </c>
      <c r="T30" s="58" t="str">
        <f ca="1">IFERROR(_xlfn.XLOOKUP(tb_investimentos[[#This Row],[DESCRIÇÃO]],'INFO AÇÕES'!E:E,'INFO AÇÕES'!H:H),"")</f>
        <v/>
      </c>
      <c r="U30" s="59" t="str">
        <f ca="1">IFERROR((tb_investimentos[[#This Row],[VALOR TOTAL MERCADO]]-tb_investimentos[[#This Row],[VALOR TOTAL PONDERADO]])/tb_investimentos[[#This Row],[VALOR TOTAL PONDERADO]],"")</f>
        <v/>
      </c>
    </row>
    <row r="31" spans="2:21" hidden="1" x14ac:dyDescent="0.2">
      <c r="B31" s="13" t="s">
        <v>77</v>
      </c>
      <c r="C31" s="10">
        <v>46334</v>
      </c>
      <c r="D31" s="9" t="s">
        <v>80</v>
      </c>
      <c r="E31" s="11" t="str">
        <f>IF(tb_investimentos[[#This Row],[TIPO MOVIMENTAÇÃO]]="Aporte",_xlfn.XLOOKUP(tb_investimentos[[#This Row],[DESCRIÇÃO]],'INFO AÇÕES'!E:E,'INFO AÇÕES'!I:I),"BRL")</f>
        <v>BRL</v>
      </c>
      <c r="F31" s="75" t="s">
        <v>99</v>
      </c>
      <c r="G31" s="11">
        <v>1</v>
      </c>
      <c r="H31" s="12">
        <v>25</v>
      </c>
      <c r="I31" s="13" t="s">
        <v>107</v>
      </c>
      <c r="J31" s="51">
        <f t="shared" si="0"/>
        <v>25</v>
      </c>
      <c r="K31" s="13" t="s">
        <v>105</v>
      </c>
      <c r="L31">
        <f>MONTH(tb_investimentos[[#This Row],[DATA]])</f>
        <v>11</v>
      </c>
      <c r="M31">
        <f>YEAR(tb_investimentos[[#This Row],[DATA]])</f>
        <v>2026</v>
      </c>
      <c r="N31">
        <f>DAY(tb_investimentos[[#This Row],[DATA]])</f>
        <v>8</v>
      </c>
      <c r="O31">
        <f t="shared" si="1"/>
        <v>25</v>
      </c>
      <c r="P31">
        <f>tb_investimentos[[#This Row],[PREÇO MÉDIO PONDERADO]]*tb_investimentos[[#This Row],[QUANTIDADE]]</f>
        <v>25</v>
      </c>
      <c r="Q31" s="58" t="str">
        <f ca="1">IFERROR(_xlfn.XLOOKUP(tb_investimentos[[#This Row],[DESCRIÇÃO]],tb_acoes[Símbolo do ticker],tb_acoes[Preço]),"")</f>
        <v/>
      </c>
      <c r="R31" s="58" t="str">
        <f ca="1">IFERROR(tb_investimentos[[#This Row],[QUANTIDADE]]*tb_investimentos[[#This Row],[PREÇO MERCADO]],"")</f>
        <v/>
      </c>
      <c r="S31" s="58" t="str">
        <f ca="1">IFERROR(tb_investimentos[[#This Row],[VALOR TOTAL MERCADO]]-tb_investimentos[[#This Row],[VALOR TOTAL PONDERADO]],"")</f>
        <v/>
      </c>
      <c r="T31" s="58" t="str">
        <f ca="1">IFERROR(_xlfn.XLOOKUP(tb_investimentos[[#This Row],[DESCRIÇÃO]],'INFO AÇÕES'!E:E,'INFO AÇÕES'!H:H),"")</f>
        <v/>
      </c>
      <c r="U31" s="59" t="str">
        <f ca="1">IFERROR((tb_investimentos[[#This Row],[VALOR TOTAL MERCADO]]-tb_investimentos[[#This Row],[VALOR TOTAL PONDERADO]])/tb_investimentos[[#This Row],[VALOR TOTAL PONDERADO]],"")</f>
        <v/>
      </c>
    </row>
    <row r="32" spans="2:21" hidden="1" x14ac:dyDescent="0.2">
      <c r="B32" s="13" t="s">
        <v>77</v>
      </c>
      <c r="C32" s="10">
        <v>46336</v>
      </c>
      <c r="D32" s="9" t="s">
        <v>85</v>
      </c>
      <c r="E32" s="11" t="str">
        <f>IF(tb_investimentos[[#This Row],[TIPO MOVIMENTAÇÃO]]="Aporte",_xlfn.XLOOKUP(tb_investimentos[[#This Row],[DESCRIÇÃO]],'INFO AÇÕES'!E:E,'INFO AÇÕES'!I:I),"BRL")</f>
        <v>BRL</v>
      </c>
      <c r="F32" s="75" t="s">
        <v>104</v>
      </c>
      <c r="G32" s="11">
        <v>1</v>
      </c>
      <c r="H32" s="12">
        <v>95</v>
      </c>
      <c r="I32" s="13" t="s">
        <v>107</v>
      </c>
      <c r="J32" s="51">
        <f t="shared" si="0"/>
        <v>95</v>
      </c>
      <c r="K32" s="13" t="s">
        <v>105</v>
      </c>
      <c r="L32">
        <f>MONTH(tb_investimentos[[#This Row],[DATA]])</f>
        <v>11</v>
      </c>
      <c r="M32">
        <f>YEAR(tb_investimentos[[#This Row],[DATA]])</f>
        <v>2026</v>
      </c>
      <c r="N32">
        <f>DAY(tb_investimentos[[#This Row],[DATA]])</f>
        <v>10</v>
      </c>
      <c r="O32">
        <f t="shared" si="1"/>
        <v>95</v>
      </c>
      <c r="P32">
        <f>tb_investimentos[[#This Row],[PREÇO MÉDIO PONDERADO]]*tb_investimentos[[#This Row],[QUANTIDADE]]</f>
        <v>95</v>
      </c>
      <c r="Q32" s="58" t="str">
        <f ca="1">IFERROR(_xlfn.XLOOKUP(tb_investimentos[[#This Row],[DESCRIÇÃO]],tb_acoes[Símbolo do ticker],tb_acoes[Preço]),"")</f>
        <v/>
      </c>
      <c r="R32" s="58" t="str">
        <f ca="1">IFERROR(tb_investimentos[[#This Row],[QUANTIDADE]]*tb_investimentos[[#This Row],[PREÇO MERCADO]],"")</f>
        <v/>
      </c>
      <c r="S32" s="58" t="str">
        <f ca="1">IFERROR(tb_investimentos[[#This Row],[VALOR TOTAL MERCADO]]-tb_investimentos[[#This Row],[VALOR TOTAL PONDERADO]],"")</f>
        <v/>
      </c>
      <c r="T32" s="58" t="str">
        <f ca="1">IFERROR(_xlfn.XLOOKUP(tb_investimentos[[#This Row],[DESCRIÇÃO]],'INFO AÇÕES'!E:E,'INFO AÇÕES'!H:H),"")</f>
        <v/>
      </c>
      <c r="U32" s="59" t="str">
        <f ca="1">IFERROR((tb_investimentos[[#This Row],[VALOR TOTAL MERCADO]]-tb_investimentos[[#This Row],[VALOR TOTAL PONDERADO]])/tb_investimentos[[#This Row],[VALOR TOTAL PONDERADO]],"")</f>
        <v/>
      </c>
    </row>
    <row r="33" spans="2:21" hidden="1" x14ac:dyDescent="0.2">
      <c r="B33" s="13" t="s">
        <v>77</v>
      </c>
      <c r="C33" s="10">
        <v>46338</v>
      </c>
      <c r="D33" s="9" t="s">
        <v>89</v>
      </c>
      <c r="E33" s="11" t="str">
        <f>IF(tb_investimentos[[#This Row],[TIPO MOVIMENTAÇÃO]]="Aporte",_xlfn.XLOOKUP(tb_investimentos[[#This Row],[DESCRIÇÃO]],'INFO AÇÕES'!E:E,'INFO AÇÕES'!I:I),"BRL")</f>
        <v>BRL</v>
      </c>
      <c r="F33" s="75" t="s">
        <v>90</v>
      </c>
      <c r="G33" s="11">
        <v>1</v>
      </c>
      <c r="H33" s="12">
        <v>16.899999999999999</v>
      </c>
      <c r="I33" s="13" t="s">
        <v>107</v>
      </c>
      <c r="J33" s="51">
        <f t="shared" si="0"/>
        <v>16.899999999999999</v>
      </c>
      <c r="K33" s="13" t="s">
        <v>105</v>
      </c>
      <c r="L33">
        <f>MONTH(tb_investimentos[[#This Row],[DATA]])</f>
        <v>11</v>
      </c>
      <c r="M33">
        <f>YEAR(tb_investimentos[[#This Row],[DATA]])</f>
        <v>2026</v>
      </c>
      <c r="N33">
        <f>DAY(tb_investimentos[[#This Row],[DATA]])</f>
        <v>12</v>
      </c>
      <c r="O33">
        <f t="shared" si="1"/>
        <v>137.33453714285722</v>
      </c>
      <c r="P33">
        <f>tb_investimentos[[#This Row],[PREÇO MÉDIO PONDERADO]]*tb_investimentos[[#This Row],[QUANTIDADE]]</f>
        <v>137.33453714285722</v>
      </c>
      <c r="Q33" s="58" t="str">
        <f ca="1">IFERROR(_xlfn.XLOOKUP(tb_investimentos[[#This Row],[DESCRIÇÃO]],tb_acoes[Símbolo do ticker],tb_acoes[Preço]),"")</f>
        <v/>
      </c>
      <c r="R33" s="58" t="str">
        <f ca="1">IFERROR(tb_investimentos[[#This Row],[QUANTIDADE]]*tb_investimentos[[#This Row],[PREÇO MERCADO]],"")</f>
        <v/>
      </c>
      <c r="S33" s="58" t="str">
        <f ca="1">IFERROR(tb_investimentos[[#This Row],[VALOR TOTAL MERCADO]]-tb_investimentos[[#This Row],[VALOR TOTAL PONDERADO]],"")</f>
        <v/>
      </c>
      <c r="T33" s="58" t="str">
        <f ca="1">IFERROR(_xlfn.XLOOKUP(tb_investimentos[[#This Row],[DESCRIÇÃO]],'INFO AÇÕES'!E:E,'INFO AÇÕES'!H:H),"")</f>
        <v/>
      </c>
      <c r="U33" s="59" t="str">
        <f ca="1">IFERROR((tb_investimentos[[#This Row],[VALOR TOTAL MERCADO]]-tb_investimentos[[#This Row],[VALOR TOTAL PONDERADO]])/tb_investimentos[[#This Row],[VALOR TOTAL PONDERADO]],"")</f>
        <v/>
      </c>
    </row>
    <row r="34" spans="2:21" hidden="1" x14ac:dyDescent="0.2">
      <c r="B34" s="13" t="s">
        <v>77</v>
      </c>
      <c r="C34" s="72">
        <v>46341</v>
      </c>
      <c r="D34" s="9" t="s">
        <v>78</v>
      </c>
      <c r="E34" s="11" t="str">
        <f>IF(tb_investimentos[[#This Row],[TIPO MOVIMENTAÇÃO]]="Aporte",_xlfn.XLOOKUP(tb_investimentos[[#This Row],[DESCRIÇÃO]],'INFO AÇÕES'!E:E,'INFO AÇÕES'!I:I),"BRL")</f>
        <v>BRL</v>
      </c>
      <c r="F34" s="75" t="s">
        <v>102</v>
      </c>
      <c r="G34" s="11">
        <v>1</v>
      </c>
      <c r="H34" s="12">
        <v>39.9</v>
      </c>
      <c r="I34" s="13" t="s">
        <v>107</v>
      </c>
      <c r="J34" s="51">
        <f t="shared" si="0"/>
        <v>39.9</v>
      </c>
      <c r="K34" s="13" t="s">
        <v>105</v>
      </c>
      <c r="L34">
        <f>MONTH(tb_investimentos[[#This Row],[DATA]])</f>
        <v>11</v>
      </c>
      <c r="M34">
        <f>YEAR(tb_investimentos[[#This Row],[DATA]])</f>
        <v>2026</v>
      </c>
      <c r="N34">
        <f>DAY(tb_investimentos[[#This Row],[DATA]])</f>
        <v>15</v>
      </c>
      <c r="O34">
        <f t="shared" si="1"/>
        <v>59.90000000000002</v>
      </c>
      <c r="P34">
        <f>tb_investimentos[[#This Row],[PREÇO MÉDIO PONDERADO]]*tb_investimentos[[#This Row],[QUANTIDADE]]</f>
        <v>59.90000000000002</v>
      </c>
      <c r="Q34" s="58" t="str">
        <f ca="1">IFERROR(_xlfn.XLOOKUP(tb_investimentos[[#This Row],[DESCRIÇÃO]],tb_acoes[Símbolo do ticker],tb_acoes[Preço]),"")</f>
        <v/>
      </c>
      <c r="R34" s="58" t="str">
        <f ca="1">IFERROR(tb_investimentos[[#This Row],[QUANTIDADE]]*tb_investimentos[[#This Row],[PREÇO MERCADO]],"")</f>
        <v/>
      </c>
      <c r="S34" s="58" t="str">
        <f ca="1">IFERROR(tb_investimentos[[#This Row],[VALOR TOTAL MERCADO]]-tb_investimentos[[#This Row],[VALOR TOTAL PONDERADO]],"")</f>
        <v/>
      </c>
      <c r="T34" s="58" t="str">
        <f ca="1">IFERROR(_xlfn.XLOOKUP(tb_investimentos[[#This Row],[DESCRIÇÃO]],'INFO AÇÕES'!E:E,'INFO AÇÕES'!H:H),"")</f>
        <v/>
      </c>
      <c r="U34" s="59" t="str">
        <f ca="1">IFERROR((tb_investimentos[[#This Row],[VALOR TOTAL MERCADO]]-tb_investimentos[[#This Row],[VALOR TOTAL PONDERADO]])/tb_investimentos[[#This Row],[VALOR TOTAL PONDERADO]],"")</f>
        <v/>
      </c>
    </row>
    <row r="35" spans="2:21" hidden="1" x14ac:dyDescent="0.2">
      <c r="B35" s="13" t="s">
        <v>77</v>
      </c>
      <c r="C35" s="72">
        <v>46341</v>
      </c>
      <c r="D35" s="9" t="s">
        <v>78</v>
      </c>
      <c r="E35" s="11" t="str">
        <f>IF(tb_investimentos[[#This Row],[TIPO MOVIMENTAÇÃO]]="Aporte",_xlfn.XLOOKUP(tb_investimentos[[#This Row],[DESCRIÇÃO]],'INFO AÇÕES'!E:E,'INFO AÇÕES'!I:I),"BRL")</f>
        <v>BRL</v>
      </c>
      <c r="F35" s="75" t="s">
        <v>101</v>
      </c>
      <c r="G35" s="11">
        <v>1</v>
      </c>
      <c r="H35" s="12">
        <v>79.900000000000006</v>
      </c>
      <c r="I35" s="13" t="s">
        <v>107</v>
      </c>
      <c r="J35" s="51">
        <f t="shared" si="0"/>
        <v>79.900000000000006</v>
      </c>
      <c r="K35" s="13" t="s">
        <v>105</v>
      </c>
      <c r="L35">
        <f>MONTH(tb_investimentos[[#This Row],[DATA]])</f>
        <v>11</v>
      </c>
      <c r="M35">
        <f>YEAR(tb_investimentos[[#This Row],[DATA]])</f>
        <v>2026</v>
      </c>
      <c r="N35">
        <f>DAY(tb_investimentos[[#This Row],[DATA]])</f>
        <v>15</v>
      </c>
      <c r="O35">
        <f t="shared" si="1"/>
        <v>59.90000000000002</v>
      </c>
      <c r="P35">
        <f>tb_investimentos[[#This Row],[PREÇO MÉDIO PONDERADO]]*tb_investimentos[[#This Row],[QUANTIDADE]]</f>
        <v>59.90000000000002</v>
      </c>
      <c r="Q35" s="58" t="str">
        <f ca="1">IFERROR(_xlfn.XLOOKUP(tb_investimentos[[#This Row],[DESCRIÇÃO]],tb_acoes[Símbolo do ticker],tb_acoes[Preço]),"")</f>
        <v/>
      </c>
      <c r="R35" s="58" t="str">
        <f ca="1">IFERROR(tb_investimentos[[#This Row],[QUANTIDADE]]*tb_investimentos[[#This Row],[PREÇO MERCADO]],"")</f>
        <v/>
      </c>
      <c r="S35" s="58" t="str">
        <f ca="1">IFERROR(tb_investimentos[[#This Row],[VALOR TOTAL MERCADO]]-tb_investimentos[[#This Row],[VALOR TOTAL PONDERADO]],"")</f>
        <v/>
      </c>
      <c r="T35" s="58" t="str">
        <f ca="1">IFERROR(_xlfn.XLOOKUP(tb_investimentos[[#This Row],[DESCRIÇÃO]],'INFO AÇÕES'!E:E,'INFO AÇÕES'!H:H),"")</f>
        <v/>
      </c>
      <c r="U35" s="59" t="str">
        <f ca="1">IFERROR((tb_investimentos[[#This Row],[VALOR TOTAL MERCADO]]-tb_investimentos[[#This Row],[VALOR TOTAL PONDERADO]])/tb_investimentos[[#This Row],[VALOR TOTAL PONDERADO]],"")</f>
        <v/>
      </c>
    </row>
    <row r="36" spans="2:21" hidden="1" x14ac:dyDescent="0.2">
      <c r="B36" s="13" t="s">
        <v>77</v>
      </c>
      <c r="C36" s="72">
        <v>46341</v>
      </c>
      <c r="D36" s="9" t="s">
        <v>79</v>
      </c>
      <c r="E36" s="11" t="str">
        <f>IF(tb_investimentos[[#This Row],[TIPO MOVIMENTAÇÃO]]="Aporte",_xlfn.XLOOKUP(tb_investimentos[[#This Row],[DESCRIÇÃO]],'INFO AÇÕES'!E:E,'INFO AÇÕES'!I:I),"BRL")</f>
        <v>BRL</v>
      </c>
      <c r="F36" s="75" t="s">
        <v>100</v>
      </c>
      <c r="G36" s="11">
        <v>1</v>
      </c>
      <c r="H36" s="12">
        <v>110</v>
      </c>
      <c r="I36" s="13" t="s">
        <v>107</v>
      </c>
      <c r="J36" s="51">
        <f t="shared" si="0"/>
        <v>110</v>
      </c>
      <c r="K36" s="13" t="s">
        <v>105</v>
      </c>
      <c r="L36">
        <f>MONTH(tb_investimentos[[#This Row],[DATA]])</f>
        <v>11</v>
      </c>
      <c r="M36">
        <f>YEAR(tb_investimentos[[#This Row],[DATA]])</f>
        <v>2026</v>
      </c>
      <c r="N36">
        <f>DAY(tb_investimentos[[#This Row],[DATA]])</f>
        <v>15</v>
      </c>
      <c r="O36">
        <f t="shared" si="1"/>
        <v>110</v>
      </c>
      <c r="P36">
        <f>tb_investimentos[[#This Row],[PREÇO MÉDIO PONDERADO]]*tb_investimentos[[#This Row],[QUANTIDADE]]</f>
        <v>110</v>
      </c>
      <c r="Q36" s="58" t="str">
        <f ca="1">IFERROR(_xlfn.XLOOKUP(tb_investimentos[[#This Row],[DESCRIÇÃO]],tb_acoes[Símbolo do ticker],tb_acoes[Preço]),"")</f>
        <v/>
      </c>
      <c r="R36" s="58" t="str">
        <f ca="1">IFERROR(tb_investimentos[[#This Row],[QUANTIDADE]]*tb_investimentos[[#This Row],[PREÇO MERCADO]],"")</f>
        <v/>
      </c>
      <c r="S36" s="58" t="str">
        <f ca="1">IFERROR(tb_investimentos[[#This Row],[VALOR TOTAL MERCADO]]-tb_investimentos[[#This Row],[VALOR TOTAL PONDERADO]],"")</f>
        <v/>
      </c>
      <c r="T36" s="58" t="str">
        <f ca="1">IFERROR(_xlfn.XLOOKUP(tb_investimentos[[#This Row],[DESCRIÇÃO]],'INFO AÇÕES'!E:E,'INFO AÇÕES'!H:H),"")</f>
        <v/>
      </c>
      <c r="U36" s="59" t="str">
        <f ca="1">IFERROR((tb_investimentos[[#This Row],[VALOR TOTAL MERCADO]]-tb_investimentos[[#This Row],[VALOR TOTAL PONDERADO]])/tb_investimentos[[#This Row],[VALOR TOTAL PONDERADO]],"")</f>
        <v/>
      </c>
    </row>
    <row r="37" spans="2:21" hidden="1" x14ac:dyDescent="0.2">
      <c r="B37" s="13" t="s">
        <v>77</v>
      </c>
      <c r="C37" s="10">
        <v>46341</v>
      </c>
      <c r="D37" s="9" t="s">
        <v>87</v>
      </c>
      <c r="E37" s="11" t="str">
        <f>IF(tb_investimentos[[#This Row],[TIPO MOVIMENTAÇÃO]]="Aporte",_xlfn.XLOOKUP(tb_investimentos[[#This Row],[DESCRIÇÃO]],'INFO AÇÕES'!E:E,'INFO AÇÕES'!I:I),"BRL")</f>
        <v>BRL</v>
      </c>
      <c r="F37" s="75" t="s">
        <v>95</v>
      </c>
      <c r="G37" s="11">
        <v>1</v>
      </c>
      <c r="H37" s="12">
        <v>500</v>
      </c>
      <c r="I37" s="13" t="s">
        <v>107</v>
      </c>
      <c r="J37" s="51">
        <f t="shared" si="0"/>
        <v>500</v>
      </c>
      <c r="K37" s="13" t="s">
        <v>105</v>
      </c>
      <c r="L37">
        <f>MONTH(tb_investimentos[[#This Row],[DATA]])</f>
        <v>11</v>
      </c>
      <c r="M37">
        <f>YEAR(tb_investimentos[[#This Row],[DATA]])</f>
        <v>2026</v>
      </c>
      <c r="N37">
        <f>DAY(tb_investimentos[[#This Row],[DATA]])</f>
        <v>15</v>
      </c>
      <c r="O37">
        <f t="shared" si="1"/>
        <v>500</v>
      </c>
      <c r="P37">
        <f>tb_investimentos[[#This Row],[PREÇO MÉDIO PONDERADO]]*tb_investimentos[[#This Row],[QUANTIDADE]]</f>
        <v>500</v>
      </c>
      <c r="Q37" s="58" t="str">
        <f ca="1">IFERROR(_xlfn.XLOOKUP(tb_investimentos[[#This Row],[DESCRIÇÃO]],tb_acoes[Símbolo do ticker],tb_acoes[Preço]),"")</f>
        <v/>
      </c>
      <c r="R37" s="58" t="str">
        <f ca="1">IFERROR(tb_investimentos[[#This Row],[QUANTIDADE]]*tb_investimentos[[#This Row],[PREÇO MERCADO]],"")</f>
        <v/>
      </c>
      <c r="S37" s="58" t="str">
        <f ca="1">IFERROR(tb_investimentos[[#This Row],[VALOR TOTAL MERCADO]]-tb_investimentos[[#This Row],[VALOR TOTAL PONDERADO]],"")</f>
        <v/>
      </c>
      <c r="T37" s="58" t="str">
        <f ca="1">IFERROR(_xlfn.XLOOKUP(tb_investimentos[[#This Row],[DESCRIÇÃO]],'INFO AÇÕES'!E:E,'INFO AÇÕES'!H:H),"")</f>
        <v/>
      </c>
      <c r="U37" s="59" t="str">
        <f ca="1">IFERROR((tb_investimentos[[#This Row],[VALOR TOTAL MERCADO]]-tb_investimentos[[#This Row],[VALOR TOTAL PONDERADO]])/tb_investimentos[[#This Row],[VALOR TOTAL PONDERADO]],"")</f>
        <v/>
      </c>
    </row>
    <row r="38" spans="2:21" hidden="1" x14ac:dyDescent="0.2">
      <c r="B38" s="13" t="s">
        <v>77</v>
      </c>
      <c r="C38" s="10">
        <v>46341</v>
      </c>
      <c r="D38" s="9" t="s">
        <v>88</v>
      </c>
      <c r="E38" s="11" t="str">
        <f>IF(tb_investimentos[[#This Row],[TIPO MOVIMENTAÇÃO]]="Aporte",_xlfn.XLOOKUP(tb_investimentos[[#This Row],[DESCRIÇÃO]],'INFO AÇÕES'!E:E,'INFO AÇÕES'!I:I),"BRL")</f>
        <v>BRL</v>
      </c>
      <c r="F38" s="75" t="s">
        <v>91</v>
      </c>
      <c r="G38" s="11">
        <v>1</v>
      </c>
      <c r="H38" s="83">
        <v>742.50836000000004</v>
      </c>
      <c r="I38" s="13" t="s">
        <v>107</v>
      </c>
      <c r="J38" s="51">
        <f t="shared" si="0"/>
        <v>742.50836000000004</v>
      </c>
      <c r="K38" s="13" t="s">
        <v>105</v>
      </c>
      <c r="L38">
        <f>MONTH(tb_investimentos[[#This Row],[DATA]])</f>
        <v>11</v>
      </c>
      <c r="M38">
        <f>YEAR(tb_investimentos[[#This Row],[DATA]])</f>
        <v>2026</v>
      </c>
      <c r="N38">
        <f>DAY(tb_investimentos[[#This Row],[DATA]])</f>
        <v>15</v>
      </c>
      <c r="O38">
        <f t="shared" si="1"/>
        <v>1629.9930261538464</v>
      </c>
      <c r="P38">
        <f>tb_investimentos[[#This Row],[PREÇO MÉDIO PONDERADO]]*tb_investimentos[[#This Row],[QUANTIDADE]]</f>
        <v>1629.9930261538464</v>
      </c>
      <c r="Q38" s="58" t="str">
        <f ca="1">IFERROR(_xlfn.XLOOKUP(tb_investimentos[[#This Row],[DESCRIÇÃO]],tb_acoes[Símbolo do ticker],tb_acoes[Preço]),"")</f>
        <v/>
      </c>
      <c r="R38" s="58" t="str">
        <f ca="1">IFERROR(tb_investimentos[[#This Row],[QUANTIDADE]]*tb_investimentos[[#This Row],[PREÇO MERCADO]],"")</f>
        <v/>
      </c>
      <c r="S38" s="58" t="str">
        <f ca="1">IFERROR(tb_investimentos[[#This Row],[VALOR TOTAL MERCADO]]-tb_investimentos[[#This Row],[VALOR TOTAL PONDERADO]],"")</f>
        <v/>
      </c>
      <c r="T38" s="58" t="str">
        <f ca="1">IFERROR(_xlfn.XLOOKUP(tb_investimentos[[#This Row],[DESCRIÇÃO]],'INFO AÇÕES'!E:E,'INFO AÇÕES'!H:H),"")</f>
        <v/>
      </c>
      <c r="U38" s="59" t="str">
        <f ca="1">IFERROR((tb_investimentos[[#This Row],[VALOR TOTAL MERCADO]]-tb_investimentos[[#This Row],[VALOR TOTAL PONDERADO]])/tb_investimentos[[#This Row],[VALOR TOTAL PONDERADO]],"")</f>
        <v/>
      </c>
    </row>
    <row r="39" spans="2:21" hidden="1" x14ac:dyDescent="0.2">
      <c r="B39" s="13" t="s">
        <v>77</v>
      </c>
      <c r="C39" s="10">
        <v>46346</v>
      </c>
      <c r="D39" s="9" t="s">
        <v>94</v>
      </c>
      <c r="E39" s="11" t="str">
        <f>IF(tb_investimentos[[#This Row],[TIPO MOVIMENTAÇÃO]]="Aporte",_xlfn.XLOOKUP(tb_investimentos[[#This Row],[DESCRIÇÃO]],'INFO AÇÕES'!E:E,'INFO AÇÕES'!I:I),"BRL")</f>
        <v>BRL</v>
      </c>
      <c r="F39" s="75" t="s">
        <v>95</v>
      </c>
      <c r="G39" s="11">
        <v>1</v>
      </c>
      <c r="H39" s="12">
        <v>87</v>
      </c>
      <c r="I39" s="13" t="s">
        <v>107</v>
      </c>
      <c r="J39" s="51">
        <f t="shared" si="0"/>
        <v>87</v>
      </c>
      <c r="K39" s="13" t="s">
        <v>105</v>
      </c>
      <c r="L39">
        <f>MONTH(tb_investimentos[[#This Row],[DATA]])</f>
        <v>11</v>
      </c>
      <c r="M39">
        <f>YEAR(tb_investimentos[[#This Row],[DATA]])</f>
        <v>2026</v>
      </c>
      <c r="N39">
        <f>DAY(tb_investimentos[[#This Row],[DATA]])</f>
        <v>20</v>
      </c>
      <c r="O39">
        <f t="shared" si="1"/>
        <v>93.857142857142861</v>
      </c>
      <c r="P39">
        <f>tb_investimentos[[#This Row],[PREÇO MÉDIO PONDERADO]]*tb_investimentos[[#This Row],[QUANTIDADE]]</f>
        <v>93.857142857142861</v>
      </c>
      <c r="Q39" s="58" t="str">
        <f ca="1">IFERROR(_xlfn.XLOOKUP(tb_investimentos[[#This Row],[DESCRIÇÃO]],tb_acoes[Símbolo do ticker],tb_acoes[Preço]),"")</f>
        <v/>
      </c>
      <c r="R39" s="58" t="str">
        <f ca="1">IFERROR(tb_investimentos[[#This Row],[QUANTIDADE]]*tb_investimentos[[#This Row],[PREÇO MERCADO]],"")</f>
        <v/>
      </c>
      <c r="S39" s="58" t="str">
        <f ca="1">IFERROR(tb_investimentos[[#This Row],[VALOR TOTAL MERCADO]]-tb_investimentos[[#This Row],[VALOR TOTAL PONDERADO]],"")</f>
        <v/>
      </c>
      <c r="T39" s="58" t="str">
        <f ca="1">IFERROR(_xlfn.XLOOKUP(tb_investimentos[[#This Row],[DESCRIÇÃO]],'INFO AÇÕES'!E:E,'INFO AÇÕES'!H:H),"")</f>
        <v/>
      </c>
      <c r="U39" s="59" t="str">
        <f ca="1">IFERROR((tb_investimentos[[#This Row],[VALOR TOTAL MERCADO]]-tb_investimentos[[#This Row],[VALOR TOTAL PONDERADO]])/tb_investimentos[[#This Row],[VALOR TOTAL PONDERADO]],"")</f>
        <v/>
      </c>
    </row>
    <row r="40" spans="2:21" hidden="1" x14ac:dyDescent="0.2">
      <c r="B40" s="13" t="s">
        <v>77</v>
      </c>
      <c r="C40" s="10">
        <v>46350</v>
      </c>
      <c r="D40" s="9" t="s">
        <v>84</v>
      </c>
      <c r="E40" s="11" t="str">
        <f>IF(tb_investimentos[[#This Row],[TIPO MOVIMENTAÇÃO]]="Aporte",_xlfn.XLOOKUP(tb_investimentos[[#This Row],[DESCRIÇÃO]],'INFO AÇÕES'!E:E,'INFO AÇÕES'!I:I),"BRL")</f>
        <v>BRL</v>
      </c>
      <c r="F40" s="75" t="s">
        <v>83</v>
      </c>
      <c r="G40" s="11">
        <v>1</v>
      </c>
      <c r="H40" s="12">
        <v>650</v>
      </c>
      <c r="I40" s="13" t="s">
        <v>107</v>
      </c>
      <c r="J40" s="51">
        <f t="shared" si="0"/>
        <v>650</v>
      </c>
      <c r="K40" s="13" t="s">
        <v>105</v>
      </c>
      <c r="L40">
        <f>MONTH(tb_investimentos[[#This Row],[DATA]])</f>
        <v>11</v>
      </c>
      <c r="M40">
        <f>YEAR(tb_investimentos[[#This Row],[DATA]])</f>
        <v>2026</v>
      </c>
      <c r="N40">
        <f>DAY(tb_investimentos[[#This Row],[DATA]])</f>
        <v>24</v>
      </c>
      <c r="O40">
        <f t="shared" si="1"/>
        <v>650</v>
      </c>
      <c r="P40">
        <f>tb_investimentos[[#This Row],[PREÇO MÉDIO PONDERADO]]*tb_investimentos[[#This Row],[QUANTIDADE]]</f>
        <v>650</v>
      </c>
      <c r="Q40" s="58" t="str">
        <f ca="1">IFERROR(_xlfn.XLOOKUP(tb_investimentos[[#This Row],[DESCRIÇÃO]],tb_acoes[Símbolo do ticker],tb_acoes[Preço]),"")</f>
        <v/>
      </c>
      <c r="R40" s="58" t="str">
        <f ca="1">IFERROR(tb_investimentos[[#This Row],[QUANTIDADE]]*tb_investimentos[[#This Row],[PREÇO MERCADO]],"")</f>
        <v/>
      </c>
      <c r="S40" s="58" t="str">
        <f ca="1">IFERROR(tb_investimentos[[#This Row],[VALOR TOTAL MERCADO]]-tb_investimentos[[#This Row],[VALOR TOTAL PONDERADO]],"")</f>
        <v/>
      </c>
      <c r="T40" s="58" t="str">
        <f ca="1">IFERROR(_xlfn.XLOOKUP(tb_investimentos[[#This Row],[DESCRIÇÃO]],'INFO AÇÕES'!E:E,'INFO AÇÕES'!H:H),"")</f>
        <v/>
      </c>
      <c r="U40" s="59" t="str">
        <f ca="1">IFERROR((tb_investimentos[[#This Row],[VALOR TOTAL MERCADO]]-tb_investimentos[[#This Row],[VALOR TOTAL PONDERADO]])/tb_investimentos[[#This Row],[VALOR TOTAL PONDERADO]],"")</f>
        <v/>
      </c>
    </row>
    <row r="41" spans="2:21" hidden="1" x14ac:dyDescent="0.2">
      <c r="B41" s="13" t="s">
        <v>77</v>
      </c>
      <c r="C41" s="10">
        <v>46356</v>
      </c>
      <c r="D41" s="9" t="s">
        <v>82</v>
      </c>
      <c r="E41" s="11" t="str">
        <f>IF(tb_investimentos[[#This Row],[TIPO MOVIMENTAÇÃO]]="Aporte",_xlfn.XLOOKUP(tb_investimentos[[#This Row],[DESCRIÇÃO]],'INFO AÇÕES'!E:E,'INFO AÇÕES'!I:I),"BRL")</f>
        <v>BRL</v>
      </c>
      <c r="F41" s="75" t="s">
        <v>81</v>
      </c>
      <c r="G41" s="11">
        <v>1</v>
      </c>
      <c r="H41" s="12">
        <v>650</v>
      </c>
      <c r="I41" s="13" t="s">
        <v>107</v>
      </c>
      <c r="J41" s="51">
        <f t="shared" si="0"/>
        <v>650</v>
      </c>
      <c r="K41" s="13" t="s">
        <v>105</v>
      </c>
      <c r="L41">
        <f>MONTH(tb_investimentos[[#This Row],[DATA]])</f>
        <v>11</v>
      </c>
      <c r="M41">
        <f>YEAR(tb_investimentos[[#This Row],[DATA]])</f>
        <v>2026</v>
      </c>
      <c r="N41">
        <f>DAY(tb_investimentos[[#This Row],[DATA]])</f>
        <v>30</v>
      </c>
      <c r="O41">
        <f t="shared" si="1"/>
        <v>650</v>
      </c>
      <c r="P41">
        <f>tb_investimentos[[#This Row],[PREÇO MÉDIO PONDERADO]]*tb_investimentos[[#This Row],[QUANTIDADE]]</f>
        <v>650</v>
      </c>
      <c r="Q41" s="58" t="str">
        <f ca="1">IFERROR(_xlfn.XLOOKUP(tb_investimentos[[#This Row],[DESCRIÇÃO]],tb_acoes[Símbolo do ticker],tb_acoes[Preço]),"")</f>
        <v/>
      </c>
      <c r="R41" s="58" t="str">
        <f ca="1">IFERROR(tb_investimentos[[#This Row],[QUANTIDADE]]*tb_investimentos[[#This Row],[PREÇO MERCADO]],"")</f>
        <v/>
      </c>
      <c r="S41" s="58" t="str">
        <f ca="1">IFERROR(tb_investimentos[[#This Row],[VALOR TOTAL MERCADO]]-tb_investimentos[[#This Row],[VALOR TOTAL PONDERADO]],"")</f>
        <v/>
      </c>
      <c r="T41" s="58" t="str">
        <f ca="1">IFERROR(_xlfn.XLOOKUP(tb_investimentos[[#This Row],[DESCRIÇÃO]],'INFO AÇÕES'!E:E,'INFO AÇÕES'!H:H),"")</f>
        <v/>
      </c>
      <c r="U41" s="59" t="str">
        <f ca="1">IFERROR((tb_investimentos[[#This Row],[VALOR TOTAL MERCADO]]-tb_investimentos[[#This Row],[VALOR TOTAL PONDERADO]])/tb_investimentos[[#This Row],[VALOR TOTAL PONDERADO]],"")</f>
        <v/>
      </c>
    </row>
    <row r="42" spans="2:21" hidden="1" x14ac:dyDescent="0.2">
      <c r="B42" s="13" t="s">
        <v>77</v>
      </c>
      <c r="C42" s="10">
        <v>46361</v>
      </c>
      <c r="D42" s="9" t="s">
        <v>88</v>
      </c>
      <c r="E42" s="11" t="str">
        <f>IF(tb_investimentos[[#This Row],[TIPO MOVIMENTAÇÃO]]="Aporte",_xlfn.XLOOKUP(tb_investimentos[[#This Row],[DESCRIÇÃO]],'INFO AÇÕES'!E:E,'INFO AÇÕES'!I:I),"BRL")</f>
        <v>BRL</v>
      </c>
      <c r="F42" s="75" t="s">
        <v>106</v>
      </c>
      <c r="G42" s="11">
        <v>1</v>
      </c>
      <c r="H42" s="12">
        <v>89</v>
      </c>
      <c r="I42" s="13" t="s">
        <v>107</v>
      </c>
      <c r="J42" s="51">
        <f t="shared" si="0"/>
        <v>89</v>
      </c>
      <c r="K42" s="13" t="s">
        <v>105</v>
      </c>
      <c r="L42">
        <f>MONTH(tb_investimentos[[#This Row],[DATA]])</f>
        <v>12</v>
      </c>
      <c r="M42">
        <f>YEAR(tb_investimentos[[#This Row],[DATA]])</f>
        <v>2026</v>
      </c>
      <c r="N42">
        <f>DAY(tb_investimentos[[#This Row],[DATA]])</f>
        <v>5</v>
      </c>
      <c r="O42">
        <f t="shared" si="1"/>
        <v>1629.9930261538464</v>
      </c>
      <c r="P42">
        <f>tb_investimentos[[#This Row],[PREÇO MÉDIO PONDERADO]]*tb_investimentos[[#This Row],[QUANTIDADE]]</f>
        <v>1629.9930261538464</v>
      </c>
      <c r="Q42" s="58" t="str">
        <f ca="1">IFERROR(_xlfn.XLOOKUP(tb_investimentos[[#This Row],[DESCRIÇÃO]],tb_acoes[Símbolo do ticker],tb_acoes[Preço]),"")</f>
        <v/>
      </c>
      <c r="R42" s="58" t="str">
        <f ca="1">IFERROR(tb_investimentos[[#This Row],[QUANTIDADE]]*tb_investimentos[[#This Row],[PREÇO MERCADO]],"")</f>
        <v/>
      </c>
      <c r="S42" s="58" t="str">
        <f ca="1">IFERROR(tb_investimentos[[#This Row],[VALOR TOTAL MERCADO]]-tb_investimentos[[#This Row],[VALOR TOTAL PONDERADO]],"")</f>
        <v/>
      </c>
      <c r="T42" s="58" t="str">
        <f ca="1">IFERROR(_xlfn.XLOOKUP(tb_investimentos[[#This Row],[DESCRIÇÃO]],'INFO AÇÕES'!E:E,'INFO AÇÕES'!H:H),"")</f>
        <v/>
      </c>
      <c r="U42" s="59" t="str">
        <f ca="1">IFERROR((tb_investimentos[[#This Row],[VALOR TOTAL MERCADO]]-tb_investimentos[[#This Row],[VALOR TOTAL PONDERADO]])/tb_investimentos[[#This Row],[VALOR TOTAL PONDERADO]],"")</f>
        <v/>
      </c>
    </row>
    <row r="43" spans="2:21" hidden="1" x14ac:dyDescent="0.2">
      <c r="B43" s="13" t="s">
        <v>72</v>
      </c>
      <c r="C43" s="72">
        <v>46361</v>
      </c>
      <c r="D43" s="9" t="s">
        <v>76</v>
      </c>
      <c r="E43" s="11" t="str">
        <f>IF(tb_investimentos[[#This Row],[TIPO MOVIMENTAÇÃO]]="Aporte",_xlfn.XLOOKUP(tb_investimentos[[#This Row],[DESCRIÇÃO]],'INFO AÇÕES'!E:E,'INFO AÇÕES'!I:I),"BRL")</f>
        <v>BRL</v>
      </c>
      <c r="F43" s="75" t="s">
        <v>73</v>
      </c>
      <c r="G43" s="11">
        <v>1</v>
      </c>
      <c r="H43" s="12">
        <v>8000</v>
      </c>
      <c r="I43" s="13" t="s">
        <v>107</v>
      </c>
      <c r="J43" s="51">
        <f t="shared" si="0"/>
        <v>8000</v>
      </c>
      <c r="K43" s="13" t="s">
        <v>105</v>
      </c>
      <c r="L43">
        <f>MONTH(tb_investimentos[[#This Row],[DATA]])</f>
        <v>12</v>
      </c>
      <c r="M43">
        <f>YEAR(tb_investimentos[[#This Row],[DATA]])</f>
        <v>2026</v>
      </c>
      <c r="N43">
        <f>DAY(tb_investimentos[[#This Row],[DATA]])</f>
        <v>5</v>
      </c>
      <c r="O43">
        <f t="shared" si="1"/>
        <v>7801.7948717948721</v>
      </c>
      <c r="P43">
        <f>tb_investimentos[[#This Row],[PREÇO MÉDIO PONDERADO]]*tb_investimentos[[#This Row],[QUANTIDADE]]</f>
        <v>7801.7948717948721</v>
      </c>
      <c r="Q43" s="58" t="str">
        <f ca="1">IFERROR(_xlfn.XLOOKUP(tb_investimentos[[#This Row],[DESCRIÇÃO]],tb_acoes[Símbolo do ticker],tb_acoes[Preço]),"")</f>
        <v/>
      </c>
      <c r="R43" s="58" t="str">
        <f ca="1">IFERROR(tb_investimentos[[#This Row],[QUANTIDADE]]*tb_investimentos[[#This Row],[PREÇO MERCADO]],"")</f>
        <v/>
      </c>
      <c r="S43" s="58" t="str">
        <f ca="1">IFERROR(tb_investimentos[[#This Row],[VALOR TOTAL MERCADO]]-tb_investimentos[[#This Row],[VALOR TOTAL PONDERADO]],"")</f>
        <v/>
      </c>
      <c r="T43" s="58" t="str">
        <f ca="1">IFERROR(_xlfn.XLOOKUP(tb_investimentos[[#This Row],[DESCRIÇÃO]],'INFO AÇÕES'!E:E,'INFO AÇÕES'!H:H),"")</f>
        <v/>
      </c>
      <c r="U43" s="59" t="str">
        <f ca="1">IFERROR((tb_investimentos[[#This Row],[VALOR TOTAL MERCADO]]-tb_investimentos[[#This Row],[VALOR TOTAL PONDERADO]])/tb_investimentos[[#This Row],[VALOR TOTAL PONDERADO]],"")</f>
        <v/>
      </c>
    </row>
    <row r="44" spans="2:21" hidden="1" x14ac:dyDescent="0.2">
      <c r="B44" s="13" t="s">
        <v>72</v>
      </c>
      <c r="C44" s="10">
        <v>46361</v>
      </c>
      <c r="D44" s="9" t="s">
        <v>75</v>
      </c>
      <c r="E44" s="11" t="str">
        <f>IF(tb_investimentos[[#This Row],[TIPO MOVIMENTAÇÃO]]="Aporte",_xlfn.XLOOKUP(tb_investimentos[[#This Row],[DESCRIÇÃO]],'INFO AÇÕES'!E:E,'INFO AÇÕES'!I:I),"BRL")</f>
        <v>BRL</v>
      </c>
      <c r="F44" s="75" t="s">
        <v>74</v>
      </c>
      <c r="G44" s="11">
        <v>1</v>
      </c>
      <c r="H44" s="12">
        <v>700</v>
      </c>
      <c r="I44" s="13" t="s">
        <v>107</v>
      </c>
      <c r="J44" s="51">
        <f t="shared" si="0"/>
        <v>700</v>
      </c>
      <c r="K44" s="13" t="s">
        <v>105</v>
      </c>
      <c r="L44">
        <f>MONTH(tb_investimentos[[#This Row],[DATA]])</f>
        <v>12</v>
      </c>
      <c r="M44">
        <f>YEAR(tb_investimentos[[#This Row],[DATA]])</f>
        <v>2026</v>
      </c>
      <c r="N44">
        <f>DAY(tb_investimentos[[#This Row],[DATA]])</f>
        <v>5</v>
      </c>
      <c r="O44">
        <f t="shared" si="1"/>
        <v>770</v>
      </c>
      <c r="P44">
        <f>tb_investimentos[[#This Row],[PREÇO MÉDIO PONDERADO]]*tb_investimentos[[#This Row],[QUANTIDADE]]</f>
        <v>770</v>
      </c>
      <c r="Q44" s="58" t="str">
        <f ca="1">IFERROR(_xlfn.XLOOKUP(tb_investimentos[[#This Row],[DESCRIÇÃO]],tb_acoes[Símbolo do ticker],tb_acoes[Preço]),"")</f>
        <v/>
      </c>
      <c r="R44" s="58" t="str">
        <f ca="1">IFERROR(tb_investimentos[[#This Row],[QUANTIDADE]]*tb_investimentos[[#This Row],[PREÇO MERCADO]],"")</f>
        <v/>
      </c>
      <c r="S44" s="58" t="str">
        <f ca="1">IFERROR(tb_investimentos[[#This Row],[VALOR TOTAL MERCADO]]-tb_investimentos[[#This Row],[VALOR TOTAL PONDERADO]],"")</f>
        <v/>
      </c>
      <c r="T44" s="58" t="str">
        <f ca="1">IFERROR(_xlfn.XLOOKUP(tb_investimentos[[#This Row],[DESCRIÇÃO]],'INFO AÇÕES'!E:E,'INFO AÇÕES'!H:H),"")</f>
        <v/>
      </c>
      <c r="U44" s="59" t="str">
        <f ca="1">IFERROR((tb_investimentos[[#This Row],[VALOR TOTAL MERCADO]]-tb_investimentos[[#This Row],[VALOR TOTAL PONDERADO]])/tb_investimentos[[#This Row],[VALOR TOTAL PONDERADO]],"")</f>
        <v/>
      </c>
    </row>
    <row r="45" spans="2:21" hidden="1" x14ac:dyDescent="0.2">
      <c r="B45" s="13" t="s">
        <v>77</v>
      </c>
      <c r="C45" s="10">
        <v>46361</v>
      </c>
      <c r="D45" s="9" t="s">
        <v>98</v>
      </c>
      <c r="E45" s="11" t="str">
        <f>IF(tb_investimentos[[#This Row],[TIPO MOVIMENTAÇÃO]]="Aporte",_xlfn.XLOOKUP(tb_investimentos[[#This Row],[DESCRIÇÃO]],'INFO AÇÕES'!E:E,'INFO AÇÕES'!I:I),"BRL")</f>
        <v>BRL</v>
      </c>
      <c r="F45" s="75" t="s">
        <v>117</v>
      </c>
      <c r="G45" s="11">
        <v>1</v>
      </c>
      <c r="H45" s="12">
        <v>1000</v>
      </c>
      <c r="I45" s="13" t="s">
        <v>107</v>
      </c>
      <c r="J45" s="51">
        <f t="shared" si="0"/>
        <v>1000</v>
      </c>
      <c r="K45" s="13" t="s">
        <v>105</v>
      </c>
      <c r="L45">
        <f>MONTH(tb_investimentos[[#This Row],[DATA]])</f>
        <v>12</v>
      </c>
      <c r="M45">
        <f>YEAR(tb_investimentos[[#This Row],[DATA]])</f>
        <v>2026</v>
      </c>
      <c r="N45">
        <f>DAY(tb_investimentos[[#This Row],[DATA]])</f>
        <v>5</v>
      </c>
      <c r="O45">
        <f t="shared" si="1"/>
        <v>944.33333333333337</v>
      </c>
      <c r="P45">
        <f>tb_investimentos[[#This Row],[PREÇO MÉDIO PONDERADO]]*tb_investimentos[[#This Row],[QUANTIDADE]]</f>
        <v>944.33333333333337</v>
      </c>
      <c r="Q45" s="58" t="str">
        <f ca="1">IFERROR(_xlfn.XLOOKUP(tb_investimentos[[#This Row],[DESCRIÇÃO]],tb_acoes[Símbolo do ticker],tb_acoes[Preço]),"")</f>
        <v/>
      </c>
      <c r="R45" s="58" t="str">
        <f ca="1">IFERROR(tb_investimentos[[#This Row],[QUANTIDADE]]*tb_investimentos[[#This Row],[PREÇO MERCADO]],"")</f>
        <v/>
      </c>
      <c r="S45" s="58" t="str">
        <f ca="1">IFERROR(tb_investimentos[[#This Row],[VALOR TOTAL MERCADO]]-tb_investimentos[[#This Row],[VALOR TOTAL PONDERADO]],"")</f>
        <v/>
      </c>
      <c r="T45" s="58" t="str">
        <f ca="1">IFERROR(_xlfn.XLOOKUP(tb_investimentos[[#This Row],[DESCRIÇÃO]],'INFO AÇÕES'!E:E,'INFO AÇÕES'!H:H),"")</f>
        <v/>
      </c>
      <c r="U45" s="59" t="str">
        <f ca="1">IFERROR((tb_investimentos[[#This Row],[VALOR TOTAL MERCADO]]-tb_investimentos[[#This Row],[VALOR TOTAL PONDERADO]])/tb_investimentos[[#This Row],[VALOR TOTAL PONDERADO]],"")</f>
        <v/>
      </c>
    </row>
    <row r="46" spans="2:21" hidden="1" x14ac:dyDescent="0.2">
      <c r="B46" s="13" t="s">
        <v>77</v>
      </c>
      <c r="C46" s="10">
        <v>46361</v>
      </c>
      <c r="D46" s="9" t="s">
        <v>92</v>
      </c>
      <c r="E46" s="11" t="str">
        <f>IF(tb_investimentos[[#This Row],[TIPO MOVIMENTAÇÃO]]="Aporte",_xlfn.XLOOKUP(tb_investimentos[[#This Row],[DESCRIÇÃO]],'INFO AÇÕES'!E:E,'INFO AÇÕES'!I:I),"BRL")</f>
        <v>BRL</v>
      </c>
      <c r="F46" s="75" t="s">
        <v>93</v>
      </c>
      <c r="G46" s="11">
        <v>1</v>
      </c>
      <c r="H46" s="12">
        <v>205</v>
      </c>
      <c r="I46" s="13" t="s">
        <v>107</v>
      </c>
      <c r="J46" s="51">
        <f t="shared" si="0"/>
        <v>205</v>
      </c>
      <c r="K46" s="13" t="s">
        <v>105</v>
      </c>
      <c r="L46">
        <f>MONTH(tb_investimentos[[#This Row],[DATA]])</f>
        <v>12</v>
      </c>
      <c r="M46">
        <f>YEAR(tb_investimentos[[#This Row],[DATA]])</f>
        <v>2026</v>
      </c>
      <c r="N46">
        <f>DAY(tb_investimentos[[#This Row],[DATA]])</f>
        <v>5</v>
      </c>
      <c r="O46">
        <f t="shared" si="1"/>
        <v>205</v>
      </c>
      <c r="P46">
        <f>tb_investimentos[[#This Row],[PREÇO MÉDIO PONDERADO]]*tb_investimentos[[#This Row],[QUANTIDADE]]</f>
        <v>205</v>
      </c>
      <c r="Q46" s="58" t="str">
        <f ca="1">IFERROR(_xlfn.XLOOKUP(tb_investimentos[[#This Row],[DESCRIÇÃO]],tb_acoes[Símbolo do ticker],tb_acoes[Preço]),"")</f>
        <v/>
      </c>
      <c r="R46" s="58" t="str">
        <f ca="1">IFERROR(tb_investimentos[[#This Row],[QUANTIDADE]]*tb_investimentos[[#This Row],[PREÇO MERCADO]],"")</f>
        <v/>
      </c>
      <c r="S46" s="58" t="str">
        <f ca="1">IFERROR(tb_investimentos[[#This Row],[VALOR TOTAL MERCADO]]-tb_investimentos[[#This Row],[VALOR TOTAL PONDERADO]],"")</f>
        <v/>
      </c>
      <c r="T46" s="58" t="str">
        <f ca="1">IFERROR(_xlfn.XLOOKUP(tb_investimentos[[#This Row],[DESCRIÇÃO]],'INFO AÇÕES'!E:E,'INFO AÇÕES'!H:H),"")</f>
        <v/>
      </c>
      <c r="U46" s="59" t="str">
        <f ca="1">IFERROR((tb_investimentos[[#This Row],[VALOR TOTAL MERCADO]]-tb_investimentos[[#This Row],[VALOR TOTAL PONDERADO]])/tb_investimentos[[#This Row],[VALOR TOTAL PONDERADO]],"")</f>
        <v/>
      </c>
    </row>
    <row r="47" spans="2:21" hidden="1" x14ac:dyDescent="0.2">
      <c r="B47" s="13" t="s">
        <v>77</v>
      </c>
      <c r="C47" s="10">
        <v>46361</v>
      </c>
      <c r="D47" s="9" t="s">
        <v>107</v>
      </c>
      <c r="E47" s="11" t="str">
        <f>IF(tb_investimentos[[#This Row],[TIPO MOVIMENTAÇÃO]]="Aporte",_xlfn.XLOOKUP(tb_investimentos[[#This Row],[DESCRIÇÃO]],'INFO AÇÕES'!E:E,'INFO AÇÕES'!I:I),"BRL")</f>
        <v>BRL</v>
      </c>
      <c r="F47" s="75" t="s">
        <v>106</v>
      </c>
      <c r="G47" s="11">
        <v>1</v>
      </c>
      <c r="H47" s="12">
        <v>500</v>
      </c>
      <c r="I47" s="13" t="s">
        <v>107</v>
      </c>
      <c r="J47" s="51">
        <f t="shared" si="0"/>
        <v>500</v>
      </c>
      <c r="K47" s="13" t="s">
        <v>105</v>
      </c>
      <c r="L47">
        <f>MONTH(tb_investimentos[[#This Row],[DATA]])</f>
        <v>12</v>
      </c>
      <c r="M47">
        <f>YEAR(tb_investimentos[[#This Row],[DATA]])</f>
        <v>2026</v>
      </c>
      <c r="N47">
        <f>DAY(tb_investimentos[[#This Row],[DATA]])</f>
        <v>5</v>
      </c>
      <c r="O47">
        <f t="shared" si="1"/>
        <v>515.93333333333328</v>
      </c>
      <c r="P47">
        <f>tb_investimentos[[#This Row],[PREÇO MÉDIO PONDERADO]]*tb_investimentos[[#This Row],[QUANTIDADE]]</f>
        <v>515.93333333333328</v>
      </c>
      <c r="Q47" s="58" t="str">
        <f ca="1">IFERROR(_xlfn.XLOOKUP(tb_investimentos[[#This Row],[DESCRIÇÃO]],tb_acoes[Símbolo do ticker],tb_acoes[Preço]),"")</f>
        <v/>
      </c>
      <c r="R47" s="58" t="str">
        <f ca="1">IFERROR(tb_investimentos[[#This Row],[QUANTIDADE]]*tb_investimentos[[#This Row],[PREÇO MERCADO]],"")</f>
        <v/>
      </c>
      <c r="S47" s="58" t="str">
        <f ca="1">IFERROR(tb_investimentos[[#This Row],[VALOR TOTAL MERCADO]]-tb_investimentos[[#This Row],[VALOR TOTAL PONDERADO]],"")</f>
        <v/>
      </c>
      <c r="T47" s="58" t="str">
        <f ca="1">IFERROR(_xlfn.XLOOKUP(tb_investimentos[[#This Row],[DESCRIÇÃO]],'INFO AÇÕES'!E:E,'INFO AÇÕES'!H:H),"")</f>
        <v/>
      </c>
      <c r="U47" s="59" t="str">
        <f ca="1">IFERROR((tb_investimentos[[#This Row],[VALOR TOTAL MERCADO]]-tb_investimentos[[#This Row],[VALOR TOTAL PONDERADO]])/tb_investimentos[[#This Row],[VALOR TOTAL PONDERADO]],"")</f>
        <v/>
      </c>
    </row>
    <row r="48" spans="2:21" hidden="1" x14ac:dyDescent="0.2">
      <c r="B48" s="13" t="s">
        <v>39</v>
      </c>
      <c r="C48" s="10">
        <v>46361</v>
      </c>
      <c r="D48" s="9"/>
      <c r="E48" s="11">
        <f ca="1">IF(tb_investimentos[[#This Row],[TIPO MOVIMENTAÇÃO]]="Aporte",_xlfn.XLOOKUP(tb_investimentos[[#This Row],[DESCRIÇÃO]],'INFO AÇÕES'!E:E,'INFO AÇÕES'!I:I),"BRL")</f>
        <v>0</v>
      </c>
      <c r="F48" s="73" t="s">
        <v>10</v>
      </c>
      <c r="G48" s="11">
        <v>1</v>
      </c>
      <c r="H48" s="12">
        <v>2000</v>
      </c>
      <c r="I48" s="13" t="s">
        <v>58</v>
      </c>
      <c r="J48" s="51">
        <f t="shared" si="0"/>
        <v>2000</v>
      </c>
      <c r="K48" s="11" t="s">
        <v>105</v>
      </c>
      <c r="L48">
        <f>MONTH(tb_investimentos[[#This Row],[DATA]])</f>
        <v>12</v>
      </c>
      <c r="M48">
        <f>YEAR(tb_investimentos[[#This Row],[DATA]])</f>
        <v>2026</v>
      </c>
      <c r="N48">
        <f>DAY(tb_investimentos[[#This Row],[DATA]])</f>
        <v>5</v>
      </c>
      <c r="O48" t="e">
        <f t="shared" si="1"/>
        <v>#DIV/0!</v>
      </c>
      <c r="P48" t="e">
        <f>tb_investimentos[[#This Row],[PREÇO MÉDIO PONDERADO]]*tb_investimentos[[#This Row],[QUANTIDADE]]</f>
        <v>#DIV/0!</v>
      </c>
      <c r="Q48" s="58" t="str">
        <f ca="1">IFERROR(_xlfn.XLOOKUP(tb_investimentos[[#This Row],[DESCRIÇÃO]],tb_acoes[Símbolo do ticker],tb_acoes[Preço]),"")</f>
        <v/>
      </c>
      <c r="R48" s="58" t="str">
        <f ca="1">IFERROR(tb_investimentos[[#This Row],[QUANTIDADE]]*tb_investimentos[[#This Row],[PREÇO MERCADO]],"")</f>
        <v/>
      </c>
      <c r="S48" s="58" t="str">
        <f ca="1">IFERROR(tb_investimentos[[#This Row],[VALOR TOTAL MERCADO]]-tb_investimentos[[#This Row],[VALOR TOTAL PONDERADO]],"")</f>
        <v/>
      </c>
      <c r="T48" s="58" t="str">
        <f ca="1">IFERROR(_xlfn.XLOOKUP(tb_investimentos[[#This Row],[DESCRIÇÃO]],'INFO AÇÕES'!E:E,'INFO AÇÕES'!H:H),"")</f>
        <v/>
      </c>
      <c r="U48" s="59" t="str">
        <f ca="1">IFERROR((tb_investimentos[[#This Row],[VALOR TOTAL MERCADO]]-tb_investimentos[[#This Row],[VALOR TOTAL PONDERADO]])/tb_investimentos[[#This Row],[VALOR TOTAL PONDERADO]],"")</f>
        <v/>
      </c>
    </row>
    <row r="49" spans="2:21" hidden="1" x14ac:dyDescent="0.2">
      <c r="B49" s="13" t="s">
        <v>77</v>
      </c>
      <c r="C49" s="10">
        <v>46362</v>
      </c>
      <c r="D49" s="9" t="s">
        <v>86</v>
      </c>
      <c r="E49" s="11" t="str">
        <f>IF(tb_investimentos[[#This Row],[TIPO MOVIMENTAÇÃO]]="Aporte",_xlfn.XLOOKUP(tb_investimentos[[#This Row],[DESCRIÇÃO]],'INFO AÇÕES'!E:E,'INFO AÇÕES'!I:I),"BRL")</f>
        <v>BRL</v>
      </c>
      <c r="F49" s="75" t="s">
        <v>116</v>
      </c>
      <c r="G49" s="11">
        <v>1</v>
      </c>
      <c r="H49" s="12">
        <v>650</v>
      </c>
      <c r="I49" s="13" t="s">
        <v>107</v>
      </c>
      <c r="J49" s="51">
        <f t="shared" si="0"/>
        <v>650</v>
      </c>
      <c r="K49" s="13" t="s">
        <v>105</v>
      </c>
      <c r="L49">
        <f>MONTH(tb_investimentos[[#This Row],[DATA]])</f>
        <v>12</v>
      </c>
      <c r="M49">
        <f>YEAR(tb_investimentos[[#This Row],[DATA]])</f>
        <v>2026</v>
      </c>
      <c r="N49">
        <f>DAY(tb_investimentos[[#This Row],[DATA]])</f>
        <v>6</v>
      </c>
      <c r="O49">
        <f t="shared" si="1"/>
        <v>650</v>
      </c>
      <c r="P49">
        <f>tb_investimentos[[#This Row],[PREÇO MÉDIO PONDERADO]]*tb_investimentos[[#This Row],[QUANTIDADE]]</f>
        <v>650</v>
      </c>
      <c r="Q49" s="58" t="str">
        <f ca="1">IFERROR(_xlfn.XLOOKUP(tb_investimentos[[#This Row],[DESCRIÇÃO]],tb_acoes[Símbolo do ticker],tb_acoes[Preço]),"")</f>
        <v/>
      </c>
      <c r="R49" s="58" t="str">
        <f ca="1">IFERROR(tb_investimentos[[#This Row],[QUANTIDADE]]*tb_investimentos[[#This Row],[PREÇO MERCADO]],"")</f>
        <v/>
      </c>
      <c r="S49" s="58" t="str">
        <f ca="1">IFERROR(tb_investimentos[[#This Row],[VALOR TOTAL MERCADO]]-tb_investimentos[[#This Row],[VALOR TOTAL PONDERADO]],"")</f>
        <v/>
      </c>
      <c r="T49" s="58" t="str">
        <f ca="1">IFERROR(_xlfn.XLOOKUP(tb_investimentos[[#This Row],[DESCRIÇÃO]],'INFO AÇÕES'!E:E,'INFO AÇÕES'!H:H),"")</f>
        <v/>
      </c>
      <c r="U49" s="59" t="str">
        <f ca="1">IFERROR((tb_investimentos[[#This Row],[VALOR TOTAL MERCADO]]-tb_investimentos[[#This Row],[VALOR TOTAL PONDERADO]])/tb_investimentos[[#This Row],[VALOR TOTAL PONDERADO]],"")</f>
        <v/>
      </c>
    </row>
    <row r="50" spans="2:21" hidden="1" x14ac:dyDescent="0.2">
      <c r="B50" s="13" t="s">
        <v>72</v>
      </c>
      <c r="C50" s="10">
        <v>46362</v>
      </c>
      <c r="D50" s="9" t="s">
        <v>115</v>
      </c>
      <c r="E50" s="11" t="str">
        <f>IF(tb_investimentos[[#This Row],[TIPO MOVIMENTAÇÃO]]="Aporte",_xlfn.XLOOKUP(tb_investimentos[[#This Row],[DESCRIÇÃO]],'INFO AÇÕES'!E:E,'INFO AÇÕES'!I:I),"BRL")</f>
        <v>BRL</v>
      </c>
      <c r="F50" s="75" t="s">
        <v>114</v>
      </c>
      <c r="G50" s="11">
        <v>1</v>
      </c>
      <c r="H50" s="12">
        <v>4710</v>
      </c>
      <c r="I50" s="13" t="s">
        <v>107</v>
      </c>
      <c r="J50" s="51">
        <f t="shared" si="0"/>
        <v>4710</v>
      </c>
      <c r="K50" s="13" t="s">
        <v>105</v>
      </c>
      <c r="L50">
        <f>MONTH(tb_investimentos[[#This Row],[DATA]])</f>
        <v>12</v>
      </c>
      <c r="M50">
        <f>YEAR(tb_investimentos[[#This Row],[DATA]])</f>
        <v>2026</v>
      </c>
      <c r="N50">
        <f>DAY(tb_investimentos[[#This Row],[DATA]])</f>
        <v>6</v>
      </c>
      <c r="O50">
        <f t="shared" si="1"/>
        <v>4710</v>
      </c>
      <c r="P50">
        <f>tb_investimentos[[#This Row],[PREÇO MÉDIO PONDERADO]]*tb_investimentos[[#This Row],[QUANTIDADE]]</f>
        <v>4710</v>
      </c>
      <c r="Q50" s="58" t="str">
        <f ca="1">IFERROR(_xlfn.XLOOKUP(tb_investimentos[[#This Row],[DESCRIÇÃO]],tb_acoes[Símbolo do ticker],tb_acoes[Preço]),"")</f>
        <v/>
      </c>
      <c r="R50" s="58" t="str">
        <f ca="1">IFERROR(tb_investimentos[[#This Row],[QUANTIDADE]]*tb_investimentos[[#This Row],[PREÇO MERCADO]],"")</f>
        <v/>
      </c>
      <c r="S50" s="58" t="str">
        <f ca="1">IFERROR(tb_investimentos[[#This Row],[VALOR TOTAL MERCADO]]-tb_investimentos[[#This Row],[VALOR TOTAL PONDERADO]],"")</f>
        <v/>
      </c>
      <c r="T50" s="58" t="str">
        <f ca="1">IFERROR(_xlfn.XLOOKUP(tb_investimentos[[#This Row],[DESCRIÇÃO]],'INFO AÇÕES'!E:E,'INFO AÇÕES'!H:H),"")</f>
        <v/>
      </c>
      <c r="U50" s="59" t="str">
        <f ca="1">IFERROR((tb_investimentos[[#This Row],[VALOR TOTAL MERCADO]]-tb_investimentos[[#This Row],[VALOR TOTAL PONDERADO]])/tb_investimentos[[#This Row],[VALOR TOTAL PONDERADO]],"")</f>
        <v/>
      </c>
    </row>
    <row r="51" spans="2:21" hidden="1" x14ac:dyDescent="0.2">
      <c r="B51" s="13" t="s">
        <v>77</v>
      </c>
      <c r="C51" s="10">
        <v>46364</v>
      </c>
      <c r="D51" s="9" t="s">
        <v>80</v>
      </c>
      <c r="E51" s="11" t="str">
        <f>IF(tb_investimentos[[#This Row],[TIPO MOVIMENTAÇÃO]]="Aporte",_xlfn.XLOOKUP(tb_investimentos[[#This Row],[DESCRIÇÃO]],'INFO AÇÕES'!E:E,'INFO AÇÕES'!I:I),"BRL")</f>
        <v>BRL</v>
      </c>
      <c r="F51" s="75" t="s">
        <v>99</v>
      </c>
      <c r="G51" s="11">
        <v>1</v>
      </c>
      <c r="H51" s="12">
        <v>25</v>
      </c>
      <c r="I51" s="13" t="s">
        <v>107</v>
      </c>
      <c r="J51" s="51">
        <f t="shared" si="0"/>
        <v>25</v>
      </c>
      <c r="K51" s="13" t="s">
        <v>105</v>
      </c>
      <c r="L51">
        <f>MONTH(tb_investimentos[[#This Row],[DATA]])</f>
        <v>12</v>
      </c>
      <c r="M51">
        <f>YEAR(tb_investimentos[[#This Row],[DATA]])</f>
        <v>2026</v>
      </c>
      <c r="N51">
        <f>DAY(tb_investimentos[[#This Row],[DATA]])</f>
        <v>8</v>
      </c>
      <c r="O51">
        <f t="shared" si="1"/>
        <v>25</v>
      </c>
      <c r="P51">
        <f>tb_investimentos[[#This Row],[PREÇO MÉDIO PONDERADO]]*tb_investimentos[[#This Row],[QUANTIDADE]]</f>
        <v>25</v>
      </c>
      <c r="Q51" s="58" t="str">
        <f ca="1">IFERROR(_xlfn.XLOOKUP(tb_investimentos[[#This Row],[DESCRIÇÃO]],tb_acoes[Símbolo do ticker],tb_acoes[Preço]),"")</f>
        <v/>
      </c>
      <c r="R51" s="58" t="str">
        <f ca="1">IFERROR(tb_investimentos[[#This Row],[QUANTIDADE]]*tb_investimentos[[#This Row],[PREÇO MERCADO]],"")</f>
        <v/>
      </c>
      <c r="S51" s="58" t="str">
        <f ca="1">IFERROR(tb_investimentos[[#This Row],[VALOR TOTAL MERCADO]]-tb_investimentos[[#This Row],[VALOR TOTAL PONDERADO]],"")</f>
        <v/>
      </c>
      <c r="T51" s="58" t="str">
        <f ca="1">IFERROR(_xlfn.XLOOKUP(tb_investimentos[[#This Row],[DESCRIÇÃO]],'INFO AÇÕES'!E:E,'INFO AÇÕES'!H:H),"")</f>
        <v/>
      </c>
      <c r="U51" s="59" t="str">
        <f ca="1">IFERROR((tb_investimentos[[#This Row],[VALOR TOTAL MERCADO]]-tb_investimentos[[#This Row],[VALOR TOTAL PONDERADO]])/tb_investimentos[[#This Row],[VALOR TOTAL PONDERADO]],"")</f>
        <v/>
      </c>
    </row>
    <row r="52" spans="2:21" hidden="1" x14ac:dyDescent="0.2">
      <c r="B52" s="13" t="s">
        <v>77</v>
      </c>
      <c r="C52" s="10">
        <v>46366</v>
      </c>
      <c r="D52" s="9" t="s">
        <v>85</v>
      </c>
      <c r="E52" s="11" t="str">
        <f>IF(tb_investimentos[[#This Row],[TIPO MOVIMENTAÇÃO]]="Aporte",_xlfn.XLOOKUP(tb_investimentos[[#This Row],[DESCRIÇÃO]],'INFO AÇÕES'!E:E,'INFO AÇÕES'!I:I),"BRL")</f>
        <v>BRL</v>
      </c>
      <c r="F52" s="75" t="s">
        <v>104</v>
      </c>
      <c r="G52" s="11">
        <v>1</v>
      </c>
      <c r="H52" s="12">
        <v>95</v>
      </c>
      <c r="I52" s="13" t="s">
        <v>107</v>
      </c>
      <c r="J52" s="51">
        <f t="shared" si="0"/>
        <v>95</v>
      </c>
      <c r="K52" s="13" t="s">
        <v>105</v>
      </c>
      <c r="L52">
        <f>MONTH(tb_investimentos[[#This Row],[DATA]])</f>
        <v>12</v>
      </c>
      <c r="M52">
        <f>YEAR(tb_investimentos[[#This Row],[DATA]])</f>
        <v>2026</v>
      </c>
      <c r="N52">
        <f>DAY(tb_investimentos[[#This Row],[DATA]])</f>
        <v>10</v>
      </c>
      <c r="O52">
        <f t="shared" si="1"/>
        <v>95</v>
      </c>
      <c r="P52">
        <f>tb_investimentos[[#This Row],[PREÇO MÉDIO PONDERADO]]*tb_investimentos[[#This Row],[QUANTIDADE]]</f>
        <v>95</v>
      </c>
      <c r="Q52" s="58" t="str">
        <f ca="1">IFERROR(_xlfn.XLOOKUP(tb_investimentos[[#This Row],[DESCRIÇÃO]],tb_acoes[Símbolo do ticker],tb_acoes[Preço]),"")</f>
        <v/>
      </c>
      <c r="R52" s="58" t="str">
        <f ca="1">IFERROR(tb_investimentos[[#This Row],[QUANTIDADE]]*tb_investimentos[[#This Row],[PREÇO MERCADO]],"")</f>
        <v/>
      </c>
      <c r="S52" s="58" t="str">
        <f ca="1">IFERROR(tb_investimentos[[#This Row],[VALOR TOTAL MERCADO]]-tb_investimentos[[#This Row],[VALOR TOTAL PONDERADO]],"")</f>
        <v/>
      </c>
      <c r="T52" s="58" t="str">
        <f ca="1">IFERROR(_xlfn.XLOOKUP(tb_investimentos[[#This Row],[DESCRIÇÃO]],'INFO AÇÕES'!E:E,'INFO AÇÕES'!H:H),"")</f>
        <v/>
      </c>
      <c r="U52" s="59" t="str">
        <f ca="1">IFERROR((tb_investimentos[[#This Row],[VALOR TOTAL MERCADO]]-tb_investimentos[[#This Row],[VALOR TOTAL PONDERADO]])/tb_investimentos[[#This Row],[VALOR TOTAL PONDERADO]],"")</f>
        <v/>
      </c>
    </row>
    <row r="53" spans="2:21" hidden="1" x14ac:dyDescent="0.2">
      <c r="B53" s="13" t="s">
        <v>77</v>
      </c>
      <c r="C53" s="10">
        <v>46368</v>
      </c>
      <c r="D53" s="9" t="s">
        <v>89</v>
      </c>
      <c r="E53" s="11" t="str">
        <f>IF(tb_investimentos[[#This Row],[TIPO MOVIMENTAÇÃO]]="Aporte",_xlfn.XLOOKUP(tb_investimentos[[#This Row],[DESCRIÇÃO]],'INFO AÇÕES'!E:E,'INFO AÇÕES'!I:I),"BRL")</f>
        <v>BRL</v>
      </c>
      <c r="F53" s="75" t="s">
        <v>90</v>
      </c>
      <c r="G53" s="11">
        <v>1</v>
      </c>
      <c r="H53" s="83">
        <v>859.94175999999993</v>
      </c>
      <c r="I53" s="13" t="s">
        <v>107</v>
      </c>
      <c r="J53" s="51">
        <f t="shared" si="0"/>
        <v>859.94175999999993</v>
      </c>
      <c r="K53" s="13" t="s">
        <v>105</v>
      </c>
      <c r="L53">
        <f>MONTH(tb_investimentos[[#This Row],[DATA]])</f>
        <v>12</v>
      </c>
      <c r="M53">
        <f>YEAR(tb_investimentos[[#This Row],[DATA]])</f>
        <v>2026</v>
      </c>
      <c r="N53">
        <f>DAY(tb_investimentos[[#This Row],[DATA]])</f>
        <v>12</v>
      </c>
      <c r="O53">
        <f t="shared" si="1"/>
        <v>137.33453714285722</v>
      </c>
      <c r="P53">
        <f>tb_investimentos[[#This Row],[PREÇO MÉDIO PONDERADO]]*tb_investimentos[[#This Row],[QUANTIDADE]]</f>
        <v>137.33453714285722</v>
      </c>
      <c r="Q53" s="58" t="str">
        <f ca="1">IFERROR(_xlfn.XLOOKUP(tb_investimentos[[#This Row],[DESCRIÇÃO]],tb_acoes[Símbolo do ticker],tb_acoes[Preço]),"")</f>
        <v/>
      </c>
      <c r="R53" s="58" t="str">
        <f ca="1">IFERROR(tb_investimentos[[#This Row],[QUANTIDADE]]*tb_investimentos[[#This Row],[PREÇO MERCADO]],"")</f>
        <v/>
      </c>
      <c r="S53" s="58" t="str">
        <f ca="1">IFERROR(tb_investimentos[[#This Row],[VALOR TOTAL MERCADO]]-tb_investimentos[[#This Row],[VALOR TOTAL PONDERADO]],"")</f>
        <v/>
      </c>
      <c r="T53" s="58" t="str">
        <f ca="1">IFERROR(_xlfn.XLOOKUP(tb_investimentos[[#This Row],[DESCRIÇÃO]],'INFO AÇÕES'!E:E,'INFO AÇÕES'!H:H),"")</f>
        <v/>
      </c>
      <c r="U53" s="59" t="str">
        <f ca="1">IFERROR((tb_investimentos[[#This Row],[VALOR TOTAL MERCADO]]-tb_investimentos[[#This Row],[VALOR TOTAL PONDERADO]])/tb_investimentos[[#This Row],[VALOR TOTAL PONDERADO]],"")</f>
        <v/>
      </c>
    </row>
    <row r="54" spans="2:21" hidden="1" x14ac:dyDescent="0.2">
      <c r="B54" s="13" t="s">
        <v>77</v>
      </c>
      <c r="C54" s="10">
        <v>46371</v>
      </c>
      <c r="D54" s="9" t="s">
        <v>78</v>
      </c>
      <c r="E54" s="11" t="str">
        <f>IF(tb_investimentos[[#This Row],[TIPO MOVIMENTAÇÃO]]="Aporte",_xlfn.XLOOKUP(tb_investimentos[[#This Row],[DESCRIÇÃO]],'INFO AÇÕES'!E:E,'INFO AÇÕES'!I:I),"BRL")</f>
        <v>BRL</v>
      </c>
      <c r="F54" s="75" t="s">
        <v>102</v>
      </c>
      <c r="G54" s="11">
        <v>1</v>
      </c>
      <c r="H54" s="12">
        <v>39.9</v>
      </c>
      <c r="I54" s="13" t="s">
        <v>107</v>
      </c>
      <c r="J54" s="51">
        <f t="shared" si="0"/>
        <v>39.9</v>
      </c>
      <c r="K54" s="13" t="s">
        <v>105</v>
      </c>
      <c r="L54">
        <f>MONTH(tb_investimentos[[#This Row],[DATA]])</f>
        <v>12</v>
      </c>
      <c r="M54">
        <f>YEAR(tb_investimentos[[#This Row],[DATA]])</f>
        <v>2026</v>
      </c>
      <c r="N54">
        <f>DAY(tb_investimentos[[#This Row],[DATA]])</f>
        <v>15</v>
      </c>
      <c r="O54">
        <f t="shared" si="1"/>
        <v>59.90000000000002</v>
      </c>
      <c r="P54">
        <f>tb_investimentos[[#This Row],[PREÇO MÉDIO PONDERADO]]*tb_investimentos[[#This Row],[QUANTIDADE]]</f>
        <v>59.90000000000002</v>
      </c>
      <c r="Q54" s="58" t="str">
        <f ca="1">IFERROR(_xlfn.XLOOKUP(tb_investimentos[[#This Row],[DESCRIÇÃO]],tb_acoes[Símbolo do ticker],tb_acoes[Preço]),"")</f>
        <v/>
      </c>
      <c r="R54" s="58" t="str">
        <f ca="1">IFERROR(tb_investimentos[[#This Row],[QUANTIDADE]]*tb_investimentos[[#This Row],[PREÇO MERCADO]],"")</f>
        <v/>
      </c>
      <c r="S54" s="58" t="str">
        <f ca="1">IFERROR(tb_investimentos[[#This Row],[VALOR TOTAL MERCADO]]-tb_investimentos[[#This Row],[VALOR TOTAL PONDERADO]],"")</f>
        <v/>
      </c>
      <c r="T54" s="58" t="str">
        <f ca="1">IFERROR(_xlfn.XLOOKUP(tb_investimentos[[#This Row],[DESCRIÇÃO]],'INFO AÇÕES'!E:E,'INFO AÇÕES'!H:H),"")</f>
        <v/>
      </c>
      <c r="U54" s="59" t="str">
        <f ca="1">IFERROR((tb_investimentos[[#This Row],[VALOR TOTAL MERCADO]]-tb_investimentos[[#This Row],[VALOR TOTAL PONDERADO]])/tb_investimentos[[#This Row],[VALOR TOTAL PONDERADO]],"")</f>
        <v/>
      </c>
    </row>
    <row r="55" spans="2:21" hidden="1" x14ac:dyDescent="0.2">
      <c r="B55" s="13" t="s">
        <v>77</v>
      </c>
      <c r="C55" s="10">
        <v>46371</v>
      </c>
      <c r="D55" s="9" t="s">
        <v>78</v>
      </c>
      <c r="E55" s="11" t="str">
        <f>IF(tb_investimentos[[#This Row],[TIPO MOVIMENTAÇÃO]]="Aporte",_xlfn.XLOOKUP(tb_investimentos[[#This Row],[DESCRIÇÃO]],'INFO AÇÕES'!E:E,'INFO AÇÕES'!I:I),"BRL")</f>
        <v>BRL</v>
      </c>
      <c r="F55" s="75" t="s">
        <v>101</v>
      </c>
      <c r="G55" s="11">
        <v>1</v>
      </c>
      <c r="H55" s="12">
        <v>79.900000000000006</v>
      </c>
      <c r="I55" s="13" t="s">
        <v>107</v>
      </c>
      <c r="J55" s="51">
        <f t="shared" si="0"/>
        <v>79.900000000000006</v>
      </c>
      <c r="K55" s="13" t="s">
        <v>105</v>
      </c>
      <c r="L55">
        <f>MONTH(tb_investimentos[[#This Row],[DATA]])</f>
        <v>12</v>
      </c>
      <c r="M55">
        <f>YEAR(tb_investimentos[[#This Row],[DATA]])</f>
        <v>2026</v>
      </c>
      <c r="N55">
        <f>DAY(tb_investimentos[[#This Row],[DATA]])</f>
        <v>15</v>
      </c>
      <c r="O55">
        <f t="shared" si="1"/>
        <v>59.90000000000002</v>
      </c>
      <c r="P55">
        <f>tb_investimentos[[#This Row],[PREÇO MÉDIO PONDERADO]]*tb_investimentos[[#This Row],[QUANTIDADE]]</f>
        <v>59.90000000000002</v>
      </c>
      <c r="Q55" s="58" t="str">
        <f ca="1">IFERROR(_xlfn.XLOOKUP(tb_investimentos[[#This Row],[DESCRIÇÃO]],tb_acoes[Símbolo do ticker],tb_acoes[Preço]),"")</f>
        <v/>
      </c>
      <c r="R55" s="58" t="str">
        <f ca="1">IFERROR(tb_investimentos[[#This Row],[QUANTIDADE]]*tb_investimentos[[#This Row],[PREÇO MERCADO]],"")</f>
        <v/>
      </c>
      <c r="S55" s="58" t="str">
        <f ca="1">IFERROR(tb_investimentos[[#This Row],[VALOR TOTAL MERCADO]]-tb_investimentos[[#This Row],[VALOR TOTAL PONDERADO]],"")</f>
        <v/>
      </c>
      <c r="T55" s="58" t="str">
        <f ca="1">IFERROR(_xlfn.XLOOKUP(tb_investimentos[[#This Row],[DESCRIÇÃO]],'INFO AÇÕES'!E:E,'INFO AÇÕES'!H:H),"")</f>
        <v/>
      </c>
      <c r="U55" s="59" t="str">
        <f ca="1">IFERROR((tb_investimentos[[#This Row],[VALOR TOTAL MERCADO]]-tb_investimentos[[#This Row],[VALOR TOTAL PONDERADO]])/tb_investimentos[[#This Row],[VALOR TOTAL PONDERADO]],"")</f>
        <v/>
      </c>
    </row>
    <row r="56" spans="2:21" hidden="1" x14ac:dyDescent="0.2">
      <c r="B56" s="13" t="s">
        <v>77</v>
      </c>
      <c r="C56" s="10">
        <v>46371</v>
      </c>
      <c r="D56" s="9" t="s">
        <v>79</v>
      </c>
      <c r="E56" s="11" t="str">
        <f>IF(tb_investimentos[[#This Row],[TIPO MOVIMENTAÇÃO]]="Aporte",_xlfn.XLOOKUP(tb_investimentos[[#This Row],[DESCRIÇÃO]],'INFO AÇÕES'!E:E,'INFO AÇÕES'!I:I),"BRL")</f>
        <v>BRL</v>
      </c>
      <c r="F56" s="75" t="s">
        <v>100</v>
      </c>
      <c r="G56" s="11">
        <v>1</v>
      </c>
      <c r="H56" s="12">
        <v>110</v>
      </c>
      <c r="I56" s="13" t="s">
        <v>107</v>
      </c>
      <c r="J56" s="51">
        <f t="shared" si="0"/>
        <v>110</v>
      </c>
      <c r="K56" s="13" t="s">
        <v>105</v>
      </c>
      <c r="L56">
        <f>MONTH(tb_investimentos[[#This Row],[DATA]])</f>
        <v>12</v>
      </c>
      <c r="M56">
        <f>YEAR(tb_investimentos[[#This Row],[DATA]])</f>
        <v>2026</v>
      </c>
      <c r="N56">
        <f>DAY(tb_investimentos[[#This Row],[DATA]])</f>
        <v>15</v>
      </c>
      <c r="O56">
        <f t="shared" si="1"/>
        <v>110</v>
      </c>
      <c r="P56">
        <f>tb_investimentos[[#This Row],[PREÇO MÉDIO PONDERADO]]*tb_investimentos[[#This Row],[QUANTIDADE]]</f>
        <v>110</v>
      </c>
      <c r="Q56" s="58" t="str">
        <f ca="1">IFERROR(_xlfn.XLOOKUP(tb_investimentos[[#This Row],[DESCRIÇÃO]],tb_acoes[Símbolo do ticker],tb_acoes[Preço]),"")</f>
        <v/>
      </c>
      <c r="R56" s="58" t="str">
        <f ca="1">IFERROR(tb_investimentos[[#This Row],[QUANTIDADE]]*tb_investimentos[[#This Row],[PREÇO MERCADO]],"")</f>
        <v/>
      </c>
      <c r="S56" s="58" t="str">
        <f ca="1">IFERROR(tb_investimentos[[#This Row],[VALOR TOTAL MERCADO]]-tb_investimentos[[#This Row],[VALOR TOTAL PONDERADO]],"")</f>
        <v/>
      </c>
      <c r="T56" s="58" t="str">
        <f ca="1">IFERROR(_xlfn.XLOOKUP(tb_investimentos[[#This Row],[DESCRIÇÃO]],'INFO AÇÕES'!E:E,'INFO AÇÕES'!H:H),"")</f>
        <v/>
      </c>
      <c r="U56" s="59" t="str">
        <f ca="1">IFERROR((tb_investimentos[[#This Row],[VALOR TOTAL MERCADO]]-tb_investimentos[[#This Row],[VALOR TOTAL PONDERADO]])/tb_investimentos[[#This Row],[VALOR TOTAL PONDERADO]],"")</f>
        <v/>
      </c>
    </row>
    <row r="57" spans="2:21" hidden="1" x14ac:dyDescent="0.2">
      <c r="B57" s="13" t="s">
        <v>77</v>
      </c>
      <c r="C57" s="10">
        <v>46371</v>
      </c>
      <c r="D57" s="9" t="s">
        <v>88</v>
      </c>
      <c r="E57" s="11" t="str">
        <f>IF(tb_investimentos[[#This Row],[TIPO MOVIMENTAÇÃO]]="Aporte",_xlfn.XLOOKUP(tb_investimentos[[#This Row],[DESCRIÇÃO]],'INFO AÇÕES'!E:E,'INFO AÇÕES'!I:I),"BRL")</f>
        <v>BRL</v>
      </c>
      <c r="F57" s="75" t="s">
        <v>91</v>
      </c>
      <c r="G57" s="11">
        <v>1</v>
      </c>
      <c r="H57" s="83">
        <v>797.44259999999997</v>
      </c>
      <c r="I57" s="13" t="s">
        <v>107</v>
      </c>
      <c r="J57" s="51">
        <f t="shared" si="0"/>
        <v>797.44259999999997</v>
      </c>
      <c r="K57" s="13" t="s">
        <v>105</v>
      </c>
      <c r="L57">
        <f>MONTH(tb_investimentos[[#This Row],[DATA]])</f>
        <v>12</v>
      </c>
      <c r="M57">
        <f>YEAR(tb_investimentos[[#This Row],[DATA]])</f>
        <v>2026</v>
      </c>
      <c r="N57">
        <f>DAY(tb_investimentos[[#This Row],[DATA]])</f>
        <v>15</v>
      </c>
      <c r="O57">
        <f t="shared" si="1"/>
        <v>1629.9930261538464</v>
      </c>
      <c r="P57">
        <f>tb_investimentos[[#This Row],[PREÇO MÉDIO PONDERADO]]*tb_investimentos[[#This Row],[QUANTIDADE]]</f>
        <v>1629.9930261538464</v>
      </c>
      <c r="Q57" s="58" t="str">
        <f ca="1">IFERROR(_xlfn.XLOOKUP(tb_investimentos[[#This Row],[DESCRIÇÃO]],tb_acoes[Símbolo do ticker],tb_acoes[Preço]),"")</f>
        <v/>
      </c>
      <c r="R57" s="58" t="str">
        <f ca="1">IFERROR(tb_investimentos[[#This Row],[QUANTIDADE]]*tb_investimentos[[#This Row],[PREÇO MERCADO]],"")</f>
        <v/>
      </c>
      <c r="S57" s="58" t="str">
        <f ca="1">IFERROR(tb_investimentos[[#This Row],[VALOR TOTAL MERCADO]]-tb_investimentos[[#This Row],[VALOR TOTAL PONDERADO]],"")</f>
        <v/>
      </c>
      <c r="T57" s="58" t="str">
        <f ca="1">IFERROR(_xlfn.XLOOKUP(tb_investimentos[[#This Row],[DESCRIÇÃO]],'INFO AÇÕES'!E:E,'INFO AÇÕES'!H:H),"")</f>
        <v/>
      </c>
      <c r="U57" s="59" t="str">
        <f ca="1">IFERROR((tb_investimentos[[#This Row],[VALOR TOTAL MERCADO]]-tb_investimentos[[#This Row],[VALOR TOTAL PONDERADO]])/tb_investimentos[[#This Row],[VALOR TOTAL PONDERADO]],"")</f>
        <v/>
      </c>
    </row>
    <row r="58" spans="2:21" hidden="1" x14ac:dyDescent="0.2">
      <c r="B58" s="13" t="s">
        <v>77</v>
      </c>
      <c r="C58" s="10">
        <v>46376</v>
      </c>
      <c r="D58" s="9" t="s">
        <v>94</v>
      </c>
      <c r="E58" s="11" t="str">
        <f>IF(tb_investimentos[[#This Row],[TIPO MOVIMENTAÇÃO]]="Aporte",_xlfn.XLOOKUP(tb_investimentos[[#This Row],[DESCRIÇÃO]],'INFO AÇÕES'!E:E,'INFO AÇÕES'!I:I),"BRL")</f>
        <v>BRL</v>
      </c>
      <c r="F58" s="75" t="s">
        <v>95</v>
      </c>
      <c r="G58" s="11">
        <v>1</v>
      </c>
      <c r="H58" s="12">
        <v>87</v>
      </c>
      <c r="I58" s="13" t="s">
        <v>107</v>
      </c>
      <c r="J58" s="51">
        <f t="shared" si="0"/>
        <v>87</v>
      </c>
      <c r="K58" s="13" t="s">
        <v>105</v>
      </c>
      <c r="L58">
        <f>MONTH(tb_investimentos[[#This Row],[DATA]])</f>
        <v>12</v>
      </c>
      <c r="M58">
        <f>YEAR(tb_investimentos[[#This Row],[DATA]])</f>
        <v>2026</v>
      </c>
      <c r="N58">
        <f>DAY(tb_investimentos[[#This Row],[DATA]])</f>
        <v>20</v>
      </c>
      <c r="O58">
        <f t="shared" si="1"/>
        <v>93.857142857142861</v>
      </c>
      <c r="P58">
        <f>tb_investimentos[[#This Row],[PREÇO MÉDIO PONDERADO]]*tb_investimentos[[#This Row],[QUANTIDADE]]</f>
        <v>93.857142857142861</v>
      </c>
      <c r="Q58" s="58" t="str">
        <f ca="1">IFERROR(_xlfn.XLOOKUP(tb_investimentos[[#This Row],[DESCRIÇÃO]],tb_acoes[Símbolo do ticker],tb_acoes[Preço]),"")</f>
        <v/>
      </c>
      <c r="R58" s="58" t="str">
        <f ca="1">IFERROR(tb_investimentos[[#This Row],[QUANTIDADE]]*tb_investimentos[[#This Row],[PREÇO MERCADO]],"")</f>
        <v/>
      </c>
      <c r="S58" s="58" t="str">
        <f ca="1">IFERROR(tb_investimentos[[#This Row],[VALOR TOTAL MERCADO]]-tb_investimentos[[#This Row],[VALOR TOTAL PONDERADO]],"")</f>
        <v/>
      </c>
      <c r="T58" s="58" t="str">
        <f ca="1">IFERROR(_xlfn.XLOOKUP(tb_investimentos[[#This Row],[DESCRIÇÃO]],'INFO AÇÕES'!E:E,'INFO AÇÕES'!H:H),"")</f>
        <v/>
      </c>
      <c r="U58" s="59" t="str">
        <f ca="1">IFERROR((tb_investimentos[[#This Row],[VALOR TOTAL MERCADO]]-tb_investimentos[[#This Row],[VALOR TOTAL PONDERADO]])/tb_investimentos[[#This Row],[VALOR TOTAL PONDERADO]],"")</f>
        <v/>
      </c>
    </row>
    <row r="59" spans="2:21" hidden="1" x14ac:dyDescent="0.2">
      <c r="B59" s="13" t="s">
        <v>77</v>
      </c>
      <c r="C59" s="10">
        <v>46380</v>
      </c>
      <c r="D59" s="9" t="s">
        <v>84</v>
      </c>
      <c r="E59" s="11" t="str">
        <f>IF(tb_investimentos[[#This Row],[TIPO MOVIMENTAÇÃO]]="Aporte",_xlfn.XLOOKUP(tb_investimentos[[#This Row],[DESCRIÇÃO]],'INFO AÇÕES'!E:E,'INFO AÇÕES'!I:I),"BRL")</f>
        <v>BRL</v>
      </c>
      <c r="F59" s="75" t="s">
        <v>83</v>
      </c>
      <c r="G59" s="11">
        <v>1</v>
      </c>
      <c r="H59" s="12">
        <v>650</v>
      </c>
      <c r="I59" s="13" t="s">
        <v>107</v>
      </c>
      <c r="J59" s="51">
        <f t="shared" si="0"/>
        <v>650</v>
      </c>
      <c r="K59" s="13" t="s">
        <v>105</v>
      </c>
      <c r="L59">
        <f>MONTH(tb_investimentos[[#This Row],[DATA]])</f>
        <v>12</v>
      </c>
      <c r="M59">
        <f>YEAR(tb_investimentos[[#This Row],[DATA]])</f>
        <v>2026</v>
      </c>
      <c r="N59">
        <f>DAY(tb_investimentos[[#This Row],[DATA]])</f>
        <v>24</v>
      </c>
      <c r="O59">
        <f t="shared" si="1"/>
        <v>650</v>
      </c>
      <c r="P59">
        <f>tb_investimentos[[#This Row],[PREÇO MÉDIO PONDERADO]]*tb_investimentos[[#This Row],[QUANTIDADE]]</f>
        <v>650</v>
      </c>
      <c r="Q59" s="58" t="str">
        <f ca="1">IFERROR(_xlfn.XLOOKUP(tb_investimentos[[#This Row],[DESCRIÇÃO]],tb_acoes[Símbolo do ticker],tb_acoes[Preço]),"")</f>
        <v/>
      </c>
      <c r="R59" s="58" t="str">
        <f ca="1">IFERROR(tb_investimentos[[#This Row],[QUANTIDADE]]*tb_investimentos[[#This Row],[PREÇO MERCADO]],"")</f>
        <v/>
      </c>
      <c r="S59" s="58" t="str">
        <f ca="1">IFERROR(tb_investimentos[[#This Row],[VALOR TOTAL MERCADO]]-tb_investimentos[[#This Row],[VALOR TOTAL PONDERADO]],"")</f>
        <v/>
      </c>
      <c r="T59" s="58" t="str">
        <f ca="1">IFERROR(_xlfn.XLOOKUP(tb_investimentos[[#This Row],[DESCRIÇÃO]],'INFO AÇÕES'!E:E,'INFO AÇÕES'!H:H),"")</f>
        <v/>
      </c>
      <c r="U59" s="59" t="str">
        <f ca="1">IFERROR((tb_investimentos[[#This Row],[VALOR TOTAL MERCADO]]-tb_investimentos[[#This Row],[VALOR TOTAL PONDERADO]])/tb_investimentos[[#This Row],[VALOR TOTAL PONDERADO]],"")</f>
        <v/>
      </c>
    </row>
    <row r="60" spans="2:21" hidden="1" x14ac:dyDescent="0.2">
      <c r="B60" s="13" t="s">
        <v>77</v>
      </c>
      <c r="C60" s="10">
        <v>46386</v>
      </c>
      <c r="D60" s="9" t="s">
        <v>82</v>
      </c>
      <c r="E60" s="11" t="str">
        <f>IF(tb_investimentos[[#This Row],[TIPO MOVIMENTAÇÃO]]="Aporte",_xlfn.XLOOKUP(tb_investimentos[[#This Row],[DESCRIÇÃO]],'INFO AÇÕES'!E:E,'INFO AÇÕES'!I:I),"BRL")</f>
        <v>BRL</v>
      </c>
      <c r="F60" s="75" t="s">
        <v>81</v>
      </c>
      <c r="G60" s="11">
        <v>1</v>
      </c>
      <c r="H60" s="12">
        <v>650</v>
      </c>
      <c r="I60" s="13" t="s">
        <v>107</v>
      </c>
      <c r="J60" s="51">
        <f t="shared" si="0"/>
        <v>650</v>
      </c>
      <c r="K60" s="13" t="s">
        <v>105</v>
      </c>
      <c r="L60">
        <f>MONTH(tb_investimentos[[#This Row],[DATA]])</f>
        <v>12</v>
      </c>
      <c r="M60">
        <f>YEAR(tb_investimentos[[#This Row],[DATA]])</f>
        <v>2026</v>
      </c>
      <c r="N60">
        <f>DAY(tb_investimentos[[#This Row],[DATA]])</f>
        <v>30</v>
      </c>
      <c r="O60">
        <f t="shared" si="1"/>
        <v>650</v>
      </c>
      <c r="P60">
        <f>tb_investimentos[[#This Row],[PREÇO MÉDIO PONDERADO]]*tb_investimentos[[#This Row],[QUANTIDADE]]</f>
        <v>650</v>
      </c>
      <c r="Q60" s="58" t="str">
        <f ca="1">IFERROR(_xlfn.XLOOKUP(tb_investimentos[[#This Row],[DESCRIÇÃO]],tb_acoes[Símbolo do ticker],tb_acoes[Preço]),"")</f>
        <v/>
      </c>
      <c r="R60" s="58" t="str">
        <f ca="1">IFERROR(tb_investimentos[[#This Row],[QUANTIDADE]]*tb_investimentos[[#This Row],[PREÇO MERCADO]],"")</f>
        <v/>
      </c>
      <c r="S60" s="58" t="str">
        <f ca="1">IFERROR(tb_investimentos[[#This Row],[VALOR TOTAL MERCADO]]-tb_investimentos[[#This Row],[VALOR TOTAL PONDERADO]],"")</f>
        <v/>
      </c>
      <c r="T60" s="58" t="str">
        <f ca="1">IFERROR(_xlfn.XLOOKUP(tb_investimentos[[#This Row],[DESCRIÇÃO]],'INFO AÇÕES'!E:E,'INFO AÇÕES'!H:H),"")</f>
        <v/>
      </c>
      <c r="U60" s="59" t="str">
        <f ca="1">IFERROR((tb_investimentos[[#This Row],[VALOR TOTAL MERCADO]]-tb_investimentos[[#This Row],[VALOR TOTAL PONDERADO]])/tb_investimentos[[#This Row],[VALOR TOTAL PONDERADO]],"")</f>
        <v/>
      </c>
    </row>
    <row r="61" spans="2:21" hidden="1" x14ac:dyDescent="0.2">
      <c r="B61" s="13" t="s">
        <v>72</v>
      </c>
      <c r="C61" s="72">
        <v>46392</v>
      </c>
      <c r="D61" s="9" t="s">
        <v>76</v>
      </c>
      <c r="E61" s="11" t="str">
        <f>IF(tb_investimentos[[#This Row],[TIPO MOVIMENTAÇÃO]]="Aporte",_xlfn.XLOOKUP(tb_investimentos[[#This Row],[DESCRIÇÃO]],'INFO AÇÕES'!E:E,'INFO AÇÕES'!I:I),"BRL")</f>
        <v>BRL</v>
      </c>
      <c r="F61" s="75" t="s">
        <v>73</v>
      </c>
      <c r="G61" s="11">
        <v>1</v>
      </c>
      <c r="H61" s="12">
        <v>8000</v>
      </c>
      <c r="I61" s="13" t="s">
        <v>107</v>
      </c>
      <c r="J61" s="51">
        <f t="shared" si="0"/>
        <v>8000</v>
      </c>
      <c r="K61" s="13" t="s">
        <v>105</v>
      </c>
      <c r="L61">
        <f>MONTH(tb_investimentos[[#This Row],[DATA]])</f>
        <v>1</v>
      </c>
      <c r="M61">
        <f>YEAR(tb_investimentos[[#This Row],[DATA]])</f>
        <v>2027</v>
      </c>
      <c r="N61">
        <f>DAY(tb_investimentos[[#This Row],[DATA]])</f>
        <v>5</v>
      </c>
      <c r="O61">
        <f t="shared" si="1"/>
        <v>7801.7948717948721</v>
      </c>
      <c r="P61">
        <f>tb_investimentos[[#This Row],[PREÇO MÉDIO PONDERADO]]*tb_investimentos[[#This Row],[QUANTIDADE]]</f>
        <v>7801.7948717948721</v>
      </c>
      <c r="Q61" s="58" t="str">
        <f ca="1">IFERROR(_xlfn.XLOOKUP(tb_investimentos[[#This Row],[DESCRIÇÃO]],tb_acoes[Símbolo do ticker],tb_acoes[Preço]),"")</f>
        <v/>
      </c>
      <c r="R61" s="58" t="str">
        <f ca="1">IFERROR(tb_investimentos[[#This Row],[QUANTIDADE]]*tb_investimentos[[#This Row],[PREÇO MERCADO]],"")</f>
        <v/>
      </c>
      <c r="S61" s="58" t="str">
        <f ca="1">IFERROR(tb_investimentos[[#This Row],[VALOR TOTAL MERCADO]]-tb_investimentos[[#This Row],[VALOR TOTAL PONDERADO]],"")</f>
        <v/>
      </c>
      <c r="T61" s="58" t="str">
        <f ca="1">IFERROR(_xlfn.XLOOKUP(tb_investimentos[[#This Row],[DESCRIÇÃO]],'INFO AÇÕES'!E:E,'INFO AÇÕES'!H:H),"")</f>
        <v/>
      </c>
      <c r="U61" s="59" t="str">
        <f ca="1">IFERROR((tb_investimentos[[#This Row],[VALOR TOTAL MERCADO]]-tb_investimentos[[#This Row],[VALOR TOTAL PONDERADO]])/tb_investimentos[[#This Row],[VALOR TOTAL PONDERADO]],"")</f>
        <v/>
      </c>
    </row>
    <row r="62" spans="2:21" hidden="1" x14ac:dyDescent="0.2">
      <c r="B62" s="13" t="s">
        <v>72</v>
      </c>
      <c r="C62" s="10">
        <v>46392</v>
      </c>
      <c r="D62" s="9" t="s">
        <v>75</v>
      </c>
      <c r="E62" s="11" t="str">
        <f>IF(tb_investimentos[[#This Row],[TIPO MOVIMENTAÇÃO]]="Aporte",_xlfn.XLOOKUP(tb_investimentos[[#This Row],[DESCRIÇÃO]],'INFO AÇÕES'!E:E,'INFO AÇÕES'!I:I),"BRL")</f>
        <v>BRL</v>
      </c>
      <c r="F62" s="75" t="s">
        <v>74</v>
      </c>
      <c r="G62" s="11">
        <v>1</v>
      </c>
      <c r="H62" s="12">
        <v>700</v>
      </c>
      <c r="I62" s="13" t="s">
        <v>107</v>
      </c>
      <c r="J62" s="51">
        <f t="shared" si="0"/>
        <v>700</v>
      </c>
      <c r="K62" s="13" t="s">
        <v>105</v>
      </c>
      <c r="L62">
        <f>MONTH(tb_investimentos[[#This Row],[DATA]])</f>
        <v>1</v>
      </c>
      <c r="M62">
        <f>YEAR(tb_investimentos[[#This Row],[DATA]])</f>
        <v>2027</v>
      </c>
      <c r="N62">
        <f>DAY(tb_investimentos[[#This Row],[DATA]])</f>
        <v>5</v>
      </c>
      <c r="O62">
        <f t="shared" si="1"/>
        <v>770</v>
      </c>
      <c r="P62">
        <f>tb_investimentos[[#This Row],[PREÇO MÉDIO PONDERADO]]*tb_investimentos[[#This Row],[QUANTIDADE]]</f>
        <v>770</v>
      </c>
      <c r="Q62" s="58" t="str">
        <f ca="1">IFERROR(_xlfn.XLOOKUP(tb_investimentos[[#This Row],[DESCRIÇÃO]],tb_acoes[Símbolo do ticker],tb_acoes[Preço]),"")</f>
        <v/>
      </c>
      <c r="R62" s="58" t="str">
        <f ca="1">IFERROR(tb_investimentos[[#This Row],[QUANTIDADE]]*tb_investimentos[[#This Row],[PREÇO MERCADO]],"")</f>
        <v/>
      </c>
      <c r="S62" s="58" t="str">
        <f ca="1">IFERROR(tb_investimentos[[#This Row],[VALOR TOTAL MERCADO]]-tb_investimentos[[#This Row],[VALOR TOTAL PONDERADO]],"")</f>
        <v/>
      </c>
      <c r="T62" s="58" t="str">
        <f ca="1">IFERROR(_xlfn.XLOOKUP(tb_investimentos[[#This Row],[DESCRIÇÃO]],'INFO AÇÕES'!E:E,'INFO AÇÕES'!H:H),"")</f>
        <v/>
      </c>
      <c r="U62" s="59" t="str">
        <f ca="1">IFERROR((tb_investimentos[[#This Row],[VALOR TOTAL MERCADO]]-tb_investimentos[[#This Row],[VALOR TOTAL PONDERADO]])/tb_investimentos[[#This Row],[VALOR TOTAL PONDERADO]],"")</f>
        <v/>
      </c>
    </row>
    <row r="63" spans="2:21" hidden="1" x14ac:dyDescent="0.2">
      <c r="B63" s="13" t="s">
        <v>77</v>
      </c>
      <c r="C63" s="10">
        <v>46392</v>
      </c>
      <c r="D63" s="9" t="s">
        <v>92</v>
      </c>
      <c r="E63" s="11" t="str">
        <f>IF(tb_investimentos[[#This Row],[TIPO MOVIMENTAÇÃO]]="Aporte",_xlfn.XLOOKUP(tb_investimentos[[#This Row],[DESCRIÇÃO]],'INFO AÇÕES'!E:E,'INFO AÇÕES'!I:I),"BRL")</f>
        <v>BRL</v>
      </c>
      <c r="F63" s="75" t="s">
        <v>93</v>
      </c>
      <c r="G63" s="11">
        <v>1</v>
      </c>
      <c r="H63" s="12">
        <v>205</v>
      </c>
      <c r="I63" s="13" t="s">
        <v>107</v>
      </c>
      <c r="J63" s="51">
        <f t="shared" si="0"/>
        <v>205</v>
      </c>
      <c r="K63" s="13" t="s">
        <v>105</v>
      </c>
      <c r="L63">
        <f>MONTH(tb_investimentos[[#This Row],[DATA]])</f>
        <v>1</v>
      </c>
      <c r="M63">
        <f>YEAR(tb_investimentos[[#This Row],[DATA]])</f>
        <v>2027</v>
      </c>
      <c r="N63">
        <f>DAY(tb_investimentos[[#This Row],[DATA]])</f>
        <v>5</v>
      </c>
      <c r="O63">
        <f t="shared" si="1"/>
        <v>205</v>
      </c>
      <c r="P63">
        <f>tb_investimentos[[#This Row],[PREÇO MÉDIO PONDERADO]]*tb_investimentos[[#This Row],[QUANTIDADE]]</f>
        <v>205</v>
      </c>
      <c r="Q63" s="58" t="str">
        <f ca="1">IFERROR(_xlfn.XLOOKUP(tb_investimentos[[#This Row],[DESCRIÇÃO]],tb_acoes[Símbolo do ticker],tb_acoes[Preço]),"")</f>
        <v/>
      </c>
      <c r="R63" s="58" t="str">
        <f ca="1">IFERROR(tb_investimentos[[#This Row],[QUANTIDADE]]*tb_investimentos[[#This Row],[PREÇO MERCADO]],"")</f>
        <v/>
      </c>
      <c r="S63" s="58" t="str">
        <f ca="1">IFERROR(tb_investimentos[[#This Row],[VALOR TOTAL MERCADO]]-tb_investimentos[[#This Row],[VALOR TOTAL PONDERADO]],"")</f>
        <v/>
      </c>
      <c r="T63" s="58" t="str">
        <f ca="1">IFERROR(_xlfn.XLOOKUP(tb_investimentos[[#This Row],[DESCRIÇÃO]],'INFO AÇÕES'!E:E,'INFO AÇÕES'!H:H),"")</f>
        <v/>
      </c>
      <c r="U63" s="59" t="str">
        <f ca="1">IFERROR((tb_investimentos[[#This Row],[VALOR TOTAL MERCADO]]-tb_investimentos[[#This Row],[VALOR TOTAL PONDERADO]])/tb_investimentos[[#This Row],[VALOR TOTAL PONDERADO]],"")</f>
        <v/>
      </c>
    </row>
    <row r="64" spans="2:21" hidden="1" x14ac:dyDescent="0.2">
      <c r="B64" s="13" t="s">
        <v>77</v>
      </c>
      <c r="C64" s="10">
        <v>46392</v>
      </c>
      <c r="D64" s="9" t="s">
        <v>107</v>
      </c>
      <c r="E64" s="11" t="str">
        <f>IF(tb_investimentos[[#This Row],[TIPO MOVIMENTAÇÃO]]="Aporte",_xlfn.XLOOKUP(tb_investimentos[[#This Row],[DESCRIÇÃO]],'INFO AÇÕES'!E:E,'INFO AÇÕES'!I:I),"BRL")</f>
        <v>BRL</v>
      </c>
      <c r="F64" s="75" t="s">
        <v>106</v>
      </c>
      <c r="G64" s="11">
        <v>1</v>
      </c>
      <c r="H64" s="12">
        <v>89</v>
      </c>
      <c r="I64" s="13" t="s">
        <v>107</v>
      </c>
      <c r="J64" s="51">
        <f t="shared" si="0"/>
        <v>89</v>
      </c>
      <c r="K64" s="13" t="s">
        <v>105</v>
      </c>
      <c r="L64">
        <f>MONTH(tb_investimentos[[#This Row],[DATA]])</f>
        <v>1</v>
      </c>
      <c r="M64">
        <f>YEAR(tb_investimentos[[#This Row],[DATA]])</f>
        <v>2027</v>
      </c>
      <c r="N64">
        <f>DAY(tb_investimentos[[#This Row],[DATA]])</f>
        <v>5</v>
      </c>
      <c r="O64">
        <f t="shared" si="1"/>
        <v>515.93333333333328</v>
      </c>
      <c r="P64">
        <f>tb_investimentos[[#This Row],[PREÇO MÉDIO PONDERADO]]*tb_investimentos[[#This Row],[QUANTIDADE]]</f>
        <v>515.93333333333328</v>
      </c>
      <c r="Q64" s="58" t="str">
        <f ca="1">IFERROR(_xlfn.XLOOKUP(tb_investimentos[[#This Row],[DESCRIÇÃO]],tb_acoes[Símbolo do ticker],tb_acoes[Preço]),"")</f>
        <v/>
      </c>
      <c r="R64" s="58" t="str">
        <f ca="1">IFERROR(tb_investimentos[[#This Row],[QUANTIDADE]]*tb_investimentos[[#This Row],[PREÇO MERCADO]],"")</f>
        <v/>
      </c>
      <c r="S64" s="58" t="str">
        <f ca="1">IFERROR(tb_investimentos[[#This Row],[VALOR TOTAL MERCADO]]-tb_investimentos[[#This Row],[VALOR TOTAL PONDERADO]],"")</f>
        <v/>
      </c>
      <c r="T64" s="58" t="str">
        <f ca="1">IFERROR(_xlfn.XLOOKUP(tb_investimentos[[#This Row],[DESCRIÇÃO]],'INFO AÇÕES'!E:E,'INFO AÇÕES'!H:H),"")</f>
        <v/>
      </c>
      <c r="U64" s="59" t="str">
        <f ca="1">IFERROR((tb_investimentos[[#This Row],[VALOR TOTAL MERCADO]]-tb_investimentos[[#This Row],[VALOR TOTAL PONDERADO]])/tb_investimentos[[#This Row],[VALOR TOTAL PONDERADO]],"")</f>
        <v/>
      </c>
    </row>
    <row r="65" spans="2:21" hidden="1" x14ac:dyDescent="0.2">
      <c r="B65" s="13" t="s">
        <v>77</v>
      </c>
      <c r="C65" s="72">
        <v>46392</v>
      </c>
      <c r="D65" s="9" t="s">
        <v>76</v>
      </c>
      <c r="E65" s="11" t="str">
        <f>IF(tb_investimentos[[#This Row],[TIPO MOVIMENTAÇÃO]]="Aporte",_xlfn.XLOOKUP(tb_investimentos[[#This Row],[DESCRIÇÃO]],'INFO AÇÕES'!E:E,'INFO AÇÕES'!I:I),"BRL")</f>
        <v>BRL</v>
      </c>
      <c r="F65" s="75" t="s">
        <v>118</v>
      </c>
      <c r="G65" s="11">
        <v>1</v>
      </c>
      <c r="H65" s="12">
        <v>270</v>
      </c>
      <c r="I65" s="13" t="s">
        <v>107</v>
      </c>
      <c r="J65" s="51">
        <f t="shared" si="0"/>
        <v>270</v>
      </c>
      <c r="K65" s="13" t="s">
        <v>105</v>
      </c>
      <c r="L65">
        <f>MONTH(tb_investimentos[[#This Row],[DATA]])</f>
        <v>1</v>
      </c>
      <c r="M65">
        <f>YEAR(tb_investimentos[[#This Row],[DATA]])</f>
        <v>2027</v>
      </c>
      <c r="N65">
        <f>DAY(tb_investimentos[[#This Row],[DATA]])</f>
        <v>5</v>
      </c>
      <c r="O65">
        <f t="shared" si="1"/>
        <v>7801.7948717948721</v>
      </c>
      <c r="P65">
        <f>tb_investimentos[[#This Row],[PREÇO MÉDIO PONDERADO]]*tb_investimentos[[#This Row],[QUANTIDADE]]</f>
        <v>7801.7948717948721</v>
      </c>
      <c r="Q65" s="58" t="str">
        <f ca="1">IFERROR(_xlfn.XLOOKUP(tb_investimentos[[#This Row],[DESCRIÇÃO]],tb_acoes[Símbolo do ticker],tb_acoes[Preço]),"")</f>
        <v/>
      </c>
      <c r="R65" s="58" t="str">
        <f ca="1">IFERROR(tb_investimentos[[#This Row],[QUANTIDADE]]*tb_investimentos[[#This Row],[PREÇO MERCADO]],"")</f>
        <v/>
      </c>
      <c r="S65" s="58" t="str">
        <f ca="1">IFERROR(tb_investimentos[[#This Row],[VALOR TOTAL MERCADO]]-tb_investimentos[[#This Row],[VALOR TOTAL PONDERADO]],"")</f>
        <v/>
      </c>
      <c r="T65" s="58" t="str">
        <f ca="1">IFERROR(_xlfn.XLOOKUP(tb_investimentos[[#This Row],[DESCRIÇÃO]],'INFO AÇÕES'!E:E,'INFO AÇÕES'!H:H),"")</f>
        <v/>
      </c>
      <c r="U65" s="59" t="str">
        <f ca="1">IFERROR((tb_investimentos[[#This Row],[VALOR TOTAL MERCADO]]-tb_investimentos[[#This Row],[VALOR TOTAL PONDERADO]])/tb_investimentos[[#This Row],[VALOR TOTAL PONDERADO]],"")</f>
        <v/>
      </c>
    </row>
    <row r="66" spans="2:21" hidden="1" x14ac:dyDescent="0.2">
      <c r="B66" s="13" t="s">
        <v>39</v>
      </c>
      <c r="C66" s="10">
        <v>46392</v>
      </c>
      <c r="D66" s="9"/>
      <c r="E66" s="11">
        <f ca="1">IF(tb_investimentos[[#This Row],[TIPO MOVIMENTAÇÃO]]="Aporte",_xlfn.XLOOKUP(tb_investimentos[[#This Row],[DESCRIÇÃO]],'INFO AÇÕES'!E:E,'INFO AÇÕES'!I:I),"BRL")</f>
        <v>0</v>
      </c>
      <c r="F66" s="73" t="s">
        <v>10</v>
      </c>
      <c r="G66" s="11">
        <v>1</v>
      </c>
      <c r="H66" s="12">
        <v>2500</v>
      </c>
      <c r="I66" s="13" t="s">
        <v>58</v>
      </c>
      <c r="J66" s="51">
        <f t="shared" si="0"/>
        <v>2500</v>
      </c>
      <c r="K66" s="11" t="s">
        <v>105</v>
      </c>
      <c r="L66">
        <f>MONTH(tb_investimentos[[#This Row],[DATA]])</f>
        <v>1</v>
      </c>
      <c r="M66">
        <f>YEAR(tb_investimentos[[#This Row],[DATA]])</f>
        <v>2027</v>
      </c>
      <c r="N66">
        <f>DAY(tb_investimentos[[#This Row],[DATA]])</f>
        <v>5</v>
      </c>
      <c r="O66" t="e">
        <f t="shared" si="1"/>
        <v>#DIV/0!</v>
      </c>
      <c r="P66" t="e">
        <f>tb_investimentos[[#This Row],[PREÇO MÉDIO PONDERADO]]*tb_investimentos[[#This Row],[QUANTIDADE]]</f>
        <v>#DIV/0!</v>
      </c>
      <c r="Q66" s="58" t="str">
        <f ca="1">IFERROR(_xlfn.XLOOKUP(tb_investimentos[[#This Row],[DESCRIÇÃO]],tb_acoes[Símbolo do ticker],tb_acoes[Preço]),"")</f>
        <v/>
      </c>
      <c r="R66" s="58" t="str">
        <f ca="1">IFERROR(tb_investimentos[[#This Row],[QUANTIDADE]]*tb_investimentos[[#This Row],[PREÇO MERCADO]],"")</f>
        <v/>
      </c>
      <c r="S66" s="58" t="str">
        <f ca="1">IFERROR(tb_investimentos[[#This Row],[VALOR TOTAL MERCADO]]-tb_investimentos[[#This Row],[VALOR TOTAL PONDERADO]],"")</f>
        <v/>
      </c>
      <c r="T66" s="58" t="str">
        <f ca="1">IFERROR(_xlfn.XLOOKUP(tb_investimentos[[#This Row],[DESCRIÇÃO]],'INFO AÇÕES'!E:E,'INFO AÇÕES'!H:H),"")</f>
        <v/>
      </c>
      <c r="U66" s="59" t="str">
        <f ca="1">IFERROR((tb_investimentos[[#This Row],[VALOR TOTAL MERCADO]]-tb_investimentos[[#This Row],[VALOR TOTAL PONDERADO]])/tb_investimentos[[#This Row],[VALOR TOTAL PONDERADO]],"")</f>
        <v/>
      </c>
    </row>
    <row r="67" spans="2:21" hidden="1" x14ac:dyDescent="0.2">
      <c r="B67" s="13" t="s">
        <v>77</v>
      </c>
      <c r="C67" s="10">
        <v>46393</v>
      </c>
      <c r="D67" s="9" t="s">
        <v>86</v>
      </c>
      <c r="E67" s="11" t="str">
        <f>IF(tb_investimentos[[#This Row],[TIPO MOVIMENTAÇÃO]]="Aporte",_xlfn.XLOOKUP(tb_investimentos[[#This Row],[DESCRIÇÃO]],'INFO AÇÕES'!E:E,'INFO AÇÕES'!I:I),"BRL")</f>
        <v>BRL</v>
      </c>
      <c r="F67" s="75" t="s">
        <v>129</v>
      </c>
      <c r="G67" s="11">
        <v>1</v>
      </c>
      <c r="H67" s="12">
        <v>650</v>
      </c>
      <c r="I67" s="13" t="s">
        <v>107</v>
      </c>
      <c r="J67" s="51">
        <f t="shared" si="0"/>
        <v>650</v>
      </c>
      <c r="K67" s="13" t="s">
        <v>105</v>
      </c>
      <c r="L67">
        <f>MONTH(tb_investimentos[[#This Row],[DATA]])</f>
        <v>1</v>
      </c>
      <c r="M67">
        <f>YEAR(tb_investimentos[[#This Row],[DATA]])</f>
        <v>2027</v>
      </c>
      <c r="N67">
        <f>DAY(tb_investimentos[[#This Row],[DATA]])</f>
        <v>6</v>
      </c>
      <c r="O67">
        <f t="shared" si="1"/>
        <v>650</v>
      </c>
      <c r="P67">
        <f>tb_investimentos[[#This Row],[PREÇO MÉDIO PONDERADO]]*tb_investimentos[[#This Row],[QUANTIDADE]]</f>
        <v>650</v>
      </c>
      <c r="Q67" s="58" t="str">
        <f ca="1">IFERROR(_xlfn.XLOOKUP(tb_investimentos[[#This Row],[DESCRIÇÃO]],tb_acoes[Símbolo do ticker],tb_acoes[Preço]),"")</f>
        <v/>
      </c>
      <c r="R67" s="58" t="str">
        <f ca="1">IFERROR(tb_investimentos[[#This Row],[QUANTIDADE]]*tb_investimentos[[#This Row],[PREÇO MERCADO]],"")</f>
        <v/>
      </c>
      <c r="S67" s="58" t="str">
        <f ca="1">IFERROR(tb_investimentos[[#This Row],[VALOR TOTAL MERCADO]]-tb_investimentos[[#This Row],[VALOR TOTAL PONDERADO]],"")</f>
        <v/>
      </c>
      <c r="T67" s="58" t="str">
        <f ca="1">IFERROR(_xlfn.XLOOKUP(tb_investimentos[[#This Row],[DESCRIÇÃO]],'INFO AÇÕES'!E:E,'INFO AÇÕES'!H:H),"")</f>
        <v/>
      </c>
      <c r="U67" s="59" t="str">
        <f ca="1">IFERROR((tb_investimentos[[#This Row],[VALOR TOTAL MERCADO]]-tb_investimentos[[#This Row],[VALOR TOTAL PONDERADO]])/tb_investimentos[[#This Row],[VALOR TOTAL PONDERADO]],"")</f>
        <v/>
      </c>
    </row>
    <row r="68" spans="2:21" hidden="1" x14ac:dyDescent="0.2">
      <c r="B68" s="13" t="s">
        <v>72</v>
      </c>
      <c r="C68" s="10">
        <v>46393</v>
      </c>
      <c r="D68" s="9" t="s">
        <v>115</v>
      </c>
      <c r="E68" s="11" t="str">
        <f>IF(tb_investimentos[[#This Row],[TIPO MOVIMENTAÇÃO]]="Aporte",_xlfn.XLOOKUP(tb_investimentos[[#This Row],[DESCRIÇÃO]],'INFO AÇÕES'!E:E,'INFO AÇÕES'!I:I),"BRL")</f>
        <v>BRL</v>
      </c>
      <c r="F68" s="75" t="s">
        <v>114</v>
      </c>
      <c r="G68" s="11">
        <v>1</v>
      </c>
      <c r="H68" s="12">
        <v>4710</v>
      </c>
      <c r="I68" s="13" t="s">
        <v>107</v>
      </c>
      <c r="J68" s="51">
        <f t="shared" si="0"/>
        <v>4710</v>
      </c>
      <c r="K68" s="13" t="s">
        <v>105</v>
      </c>
      <c r="L68">
        <f>MONTH(tb_investimentos[[#This Row],[DATA]])</f>
        <v>1</v>
      </c>
      <c r="M68">
        <f>YEAR(tb_investimentos[[#This Row],[DATA]])</f>
        <v>2027</v>
      </c>
      <c r="N68">
        <f>DAY(tb_investimentos[[#This Row],[DATA]])</f>
        <v>6</v>
      </c>
      <c r="O68">
        <f t="shared" si="1"/>
        <v>4710</v>
      </c>
      <c r="P68">
        <f>tb_investimentos[[#This Row],[PREÇO MÉDIO PONDERADO]]*tb_investimentos[[#This Row],[QUANTIDADE]]</f>
        <v>4710</v>
      </c>
      <c r="Q68" s="58" t="str">
        <f ca="1">IFERROR(_xlfn.XLOOKUP(tb_investimentos[[#This Row],[DESCRIÇÃO]],tb_acoes[Símbolo do ticker],tb_acoes[Preço]),"")</f>
        <v/>
      </c>
      <c r="R68" s="58" t="str">
        <f ca="1">IFERROR(tb_investimentos[[#This Row],[QUANTIDADE]]*tb_investimentos[[#This Row],[PREÇO MERCADO]],"")</f>
        <v/>
      </c>
      <c r="S68" s="58" t="str">
        <f ca="1">IFERROR(tb_investimentos[[#This Row],[VALOR TOTAL MERCADO]]-tb_investimentos[[#This Row],[VALOR TOTAL PONDERADO]],"")</f>
        <v/>
      </c>
      <c r="T68" s="58" t="str">
        <f ca="1">IFERROR(_xlfn.XLOOKUP(tb_investimentos[[#This Row],[DESCRIÇÃO]],'INFO AÇÕES'!E:E,'INFO AÇÕES'!H:H),"")</f>
        <v/>
      </c>
      <c r="U68" s="59" t="str">
        <f ca="1">IFERROR((tb_investimentos[[#This Row],[VALOR TOTAL MERCADO]]-tb_investimentos[[#This Row],[VALOR TOTAL PONDERADO]])/tb_investimentos[[#This Row],[VALOR TOTAL PONDERADO]],"")</f>
        <v/>
      </c>
    </row>
    <row r="69" spans="2:21" hidden="1" x14ac:dyDescent="0.2">
      <c r="B69" s="13" t="s">
        <v>77</v>
      </c>
      <c r="C69" s="10">
        <v>46395</v>
      </c>
      <c r="D69" s="9" t="s">
        <v>80</v>
      </c>
      <c r="E69" s="11" t="str">
        <f>IF(tb_investimentos[[#This Row],[TIPO MOVIMENTAÇÃO]]="Aporte",_xlfn.XLOOKUP(tb_investimentos[[#This Row],[DESCRIÇÃO]],'INFO AÇÕES'!E:E,'INFO AÇÕES'!I:I),"BRL")</f>
        <v>BRL</v>
      </c>
      <c r="F69" s="75" t="s">
        <v>99</v>
      </c>
      <c r="G69" s="11">
        <v>1</v>
      </c>
      <c r="H69" s="12">
        <v>25</v>
      </c>
      <c r="I69" s="13" t="s">
        <v>107</v>
      </c>
      <c r="J69" s="51">
        <f t="shared" ref="J69:J132" si="2">H69*G69</f>
        <v>25</v>
      </c>
      <c r="K69" s="13" t="s">
        <v>105</v>
      </c>
      <c r="L69">
        <f>MONTH(tb_investimentos[[#This Row],[DATA]])</f>
        <v>1</v>
      </c>
      <c r="M69">
        <f>YEAR(tb_investimentos[[#This Row],[DATA]])</f>
        <v>2027</v>
      </c>
      <c r="N69">
        <f>DAY(tb_investimentos[[#This Row],[DATA]])</f>
        <v>8</v>
      </c>
      <c r="O69">
        <f t="shared" ref="O69:O132" si="3">SUMIF($D$5:$D$10000, D69, $J$5:$J$10000) / SUMIF($D$5:$D$10000, D69, $G$5:$G$10000)</f>
        <v>25</v>
      </c>
      <c r="P69">
        <f>tb_investimentos[[#This Row],[PREÇO MÉDIO PONDERADO]]*tb_investimentos[[#This Row],[QUANTIDADE]]</f>
        <v>25</v>
      </c>
      <c r="Q69" s="58" t="str">
        <f ca="1">IFERROR(_xlfn.XLOOKUP(tb_investimentos[[#This Row],[DESCRIÇÃO]],tb_acoes[Símbolo do ticker],tb_acoes[Preço]),"")</f>
        <v/>
      </c>
      <c r="R69" s="58" t="str">
        <f ca="1">IFERROR(tb_investimentos[[#This Row],[QUANTIDADE]]*tb_investimentos[[#This Row],[PREÇO MERCADO]],"")</f>
        <v/>
      </c>
      <c r="S69" s="58" t="str">
        <f ca="1">IFERROR(tb_investimentos[[#This Row],[VALOR TOTAL MERCADO]]-tb_investimentos[[#This Row],[VALOR TOTAL PONDERADO]],"")</f>
        <v/>
      </c>
      <c r="T69" s="58" t="str">
        <f ca="1">IFERROR(_xlfn.XLOOKUP(tb_investimentos[[#This Row],[DESCRIÇÃO]],'INFO AÇÕES'!E:E,'INFO AÇÕES'!H:H),"")</f>
        <v/>
      </c>
      <c r="U69" s="59" t="str">
        <f ca="1">IFERROR((tb_investimentos[[#This Row],[VALOR TOTAL MERCADO]]-tb_investimentos[[#This Row],[VALOR TOTAL PONDERADO]])/tb_investimentos[[#This Row],[VALOR TOTAL PONDERADO]],"")</f>
        <v/>
      </c>
    </row>
    <row r="70" spans="2:21" hidden="1" x14ac:dyDescent="0.2">
      <c r="B70" s="13" t="s">
        <v>77</v>
      </c>
      <c r="C70" s="10">
        <v>46397</v>
      </c>
      <c r="D70" s="9" t="s">
        <v>85</v>
      </c>
      <c r="E70" s="11" t="str">
        <f>IF(tb_investimentos[[#This Row],[TIPO MOVIMENTAÇÃO]]="Aporte",_xlfn.XLOOKUP(tb_investimentos[[#This Row],[DESCRIÇÃO]],'INFO AÇÕES'!E:E,'INFO AÇÕES'!I:I),"BRL")</f>
        <v>BRL</v>
      </c>
      <c r="F70" s="75" t="s">
        <v>104</v>
      </c>
      <c r="G70" s="11">
        <v>1</v>
      </c>
      <c r="H70" s="12">
        <v>95</v>
      </c>
      <c r="I70" s="13" t="s">
        <v>107</v>
      </c>
      <c r="J70" s="51">
        <f t="shared" si="2"/>
        <v>95</v>
      </c>
      <c r="K70" s="13" t="s">
        <v>105</v>
      </c>
      <c r="L70">
        <f>MONTH(tb_investimentos[[#This Row],[DATA]])</f>
        <v>1</v>
      </c>
      <c r="M70">
        <f>YEAR(tb_investimentos[[#This Row],[DATA]])</f>
        <v>2027</v>
      </c>
      <c r="N70">
        <f>DAY(tb_investimentos[[#This Row],[DATA]])</f>
        <v>10</v>
      </c>
      <c r="O70">
        <f t="shared" si="3"/>
        <v>95</v>
      </c>
      <c r="P70">
        <f>tb_investimentos[[#This Row],[PREÇO MÉDIO PONDERADO]]*tb_investimentos[[#This Row],[QUANTIDADE]]</f>
        <v>95</v>
      </c>
      <c r="Q70" s="58" t="str">
        <f ca="1">IFERROR(_xlfn.XLOOKUP(tb_investimentos[[#This Row],[DESCRIÇÃO]],tb_acoes[Símbolo do ticker],tb_acoes[Preço]),"")</f>
        <v/>
      </c>
      <c r="R70" s="58" t="str">
        <f ca="1">IFERROR(tb_investimentos[[#This Row],[QUANTIDADE]]*tb_investimentos[[#This Row],[PREÇO MERCADO]],"")</f>
        <v/>
      </c>
      <c r="S70" s="58" t="str">
        <f ca="1">IFERROR(tb_investimentos[[#This Row],[VALOR TOTAL MERCADO]]-tb_investimentos[[#This Row],[VALOR TOTAL PONDERADO]],"")</f>
        <v/>
      </c>
      <c r="T70" s="58" t="str">
        <f ca="1">IFERROR(_xlfn.XLOOKUP(tb_investimentos[[#This Row],[DESCRIÇÃO]],'INFO AÇÕES'!E:E,'INFO AÇÕES'!H:H),"")</f>
        <v/>
      </c>
      <c r="U70" s="59" t="str">
        <f ca="1">IFERROR((tb_investimentos[[#This Row],[VALOR TOTAL MERCADO]]-tb_investimentos[[#This Row],[VALOR TOTAL PONDERADO]])/tb_investimentos[[#This Row],[VALOR TOTAL PONDERADO]],"")</f>
        <v/>
      </c>
    </row>
    <row r="71" spans="2:21" hidden="1" x14ac:dyDescent="0.2">
      <c r="B71" s="13" t="s">
        <v>77</v>
      </c>
      <c r="C71" s="10">
        <v>46399</v>
      </c>
      <c r="D71" s="9" t="s">
        <v>89</v>
      </c>
      <c r="E71" s="11" t="str">
        <f>IF(tb_investimentos[[#This Row],[TIPO MOVIMENTAÇÃO]]="Aporte",_xlfn.XLOOKUP(tb_investimentos[[#This Row],[DESCRIÇÃO]],'INFO AÇÕES'!E:E,'INFO AÇÕES'!I:I),"BRL")</f>
        <v>BRL</v>
      </c>
      <c r="F71" s="75" t="s">
        <v>90</v>
      </c>
      <c r="G71" s="11">
        <v>1</v>
      </c>
      <c r="H71" s="83">
        <v>859.94175999999993</v>
      </c>
      <c r="I71" s="13" t="s">
        <v>107</v>
      </c>
      <c r="J71" s="51">
        <f t="shared" si="2"/>
        <v>859.94175999999993</v>
      </c>
      <c r="K71" s="13" t="s">
        <v>105</v>
      </c>
      <c r="L71">
        <f>MONTH(tb_investimentos[[#This Row],[DATA]])</f>
        <v>1</v>
      </c>
      <c r="M71">
        <f>YEAR(tb_investimentos[[#This Row],[DATA]])</f>
        <v>2027</v>
      </c>
      <c r="N71">
        <f>DAY(tb_investimentos[[#This Row],[DATA]])</f>
        <v>12</v>
      </c>
      <c r="O71">
        <f t="shared" si="3"/>
        <v>137.33453714285722</v>
      </c>
      <c r="P71">
        <f>tb_investimentos[[#This Row],[PREÇO MÉDIO PONDERADO]]*tb_investimentos[[#This Row],[QUANTIDADE]]</f>
        <v>137.33453714285722</v>
      </c>
      <c r="Q71" s="58" t="str">
        <f ca="1">IFERROR(_xlfn.XLOOKUP(tb_investimentos[[#This Row],[DESCRIÇÃO]],tb_acoes[Símbolo do ticker],tb_acoes[Preço]),"")</f>
        <v/>
      </c>
      <c r="R71" s="58" t="str">
        <f ca="1">IFERROR(tb_investimentos[[#This Row],[QUANTIDADE]]*tb_investimentos[[#This Row],[PREÇO MERCADO]],"")</f>
        <v/>
      </c>
      <c r="S71" s="58" t="str">
        <f ca="1">IFERROR(tb_investimentos[[#This Row],[VALOR TOTAL MERCADO]]-tb_investimentos[[#This Row],[VALOR TOTAL PONDERADO]],"")</f>
        <v/>
      </c>
      <c r="T71" s="58" t="str">
        <f ca="1">IFERROR(_xlfn.XLOOKUP(tb_investimentos[[#This Row],[DESCRIÇÃO]],'INFO AÇÕES'!E:E,'INFO AÇÕES'!H:H),"")</f>
        <v/>
      </c>
      <c r="U71" s="59" t="str">
        <f ca="1">IFERROR((tb_investimentos[[#This Row],[VALOR TOTAL MERCADO]]-tb_investimentos[[#This Row],[VALOR TOTAL PONDERADO]])/tb_investimentos[[#This Row],[VALOR TOTAL PONDERADO]],"")</f>
        <v/>
      </c>
    </row>
    <row r="72" spans="2:21" hidden="1" x14ac:dyDescent="0.2">
      <c r="B72" s="13" t="s">
        <v>77</v>
      </c>
      <c r="C72" s="10">
        <v>46402</v>
      </c>
      <c r="D72" s="9" t="s">
        <v>78</v>
      </c>
      <c r="E72" s="11" t="str">
        <f>IF(tb_investimentos[[#This Row],[TIPO MOVIMENTAÇÃO]]="Aporte",_xlfn.XLOOKUP(tb_investimentos[[#This Row],[DESCRIÇÃO]],'INFO AÇÕES'!E:E,'INFO AÇÕES'!I:I),"BRL")</f>
        <v>BRL</v>
      </c>
      <c r="F72" s="75" t="s">
        <v>102</v>
      </c>
      <c r="G72" s="11">
        <v>1</v>
      </c>
      <c r="H72" s="12">
        <v>39.9</v>
      </c>
      <c r="I72" s="13" t="s">
        <v>107</v>
      </c>
      <c r="J72" s="51">
        <f t="shared" si="2"/>
        <v>39.9</v>
      </c>
      <c r="K72" s="13" t="s">
        <v>105</v>
      </c>
      <c r="L72">
        <f>MONTH(tb_investimentos[[#This Row],[DATA]])</f>
        <v>1</v>
      </c>
      <c r="M72">
        <f>YEAR(tb_investimentos[[#This Row],[DATA]])</f>
        <v>2027</v>
      </c>
      <c r="N72">
        <f>DAY(tb_investimentos[[#This Row],[DATA]])</f>
        <v>15</v>
      </c>
      <c r="O72">
        <f t="shared" si="3"/>
        <v>59.90000000000002</v>
      </c>
      <c r="P72">
        <f>tb_investimentos[[#This Row],[PREÇO MÉDIO PONDERADO]]*tb_investimentos[[#This Row],[QUANTIDADE]]</f>
        <v>59.90000000000002</v>
      </c>
      <c r="Q72" s="58" t="str">
        <f ca="1">IFERROR(_xlfn.XLOOKUP(tb_investimentos[[#This Row],[DESCRIÇÃO]],tb_acoes[Símbolo do ticker],tb_acoes[Preço]),"")</f>
        <v/>
      </c>
      <c r="R72" s="58" t="str">
        <f ca="1">IFERROR(tb_investimentos[[#This Row],[QUANTIDADE]]*tb_investimentos[[#This Row],[PREÇO MERCADO]],"")</f>
        <v/>
      </c>
      <c r="S72" s="58" t="str">
        <f ca="1">IFERROR(tb_investimentos[[#This Row],[VALOR TOTAL MERCADO]]-tb_investimentos[[#This Row],[VALOR TOTAL PONDERADO]],"")</f>
        <v/>
      </c>
      <c r="T72" s="58" t="str">
        <f ca="1">IFERROR(_xlfn.XLOOKUP(tb_investimentos[[#This Row],[DESCRIÇÃO]],'INFO AÇÕES'!E:E,'INFO AÇÕES'!H:H),"")</f>
        <v/>
      </c>
      <c r="U72" s="59" t="str">
        <f ca="1">IFERROR((tb_investimentos[[#This Row],[VALOR TOTAL MERCADO]]-tb_investimentos[[#This Row],[VALOR TOTAL PONDERADO]])/tb_investimentos[[#This Row],[VALOR TOTAL PONDERADO]],"")</f>
        <v/>
      </c>
    </row>
    <row r="73" spans="2:21" hidden="1" x14ac:dyDescent="0.2">
      <c r="B73" s="13" t="s">
        <v>77</v>
      </c>
      <c r="C73" s="10">
        <v>46402</v>
      </c>
      <c r="D73" s="9" t="s">
        <v>78</v>
      </c>
      <c r="E73" s="11" t="str">
        <f>IF(tb_investimentos[[#This Row],[TIPO MOVIMENTAÇÃO]]="Aporte",_xlfn.XLOOKUP(tb_investimentos[[#This Row],[DESCRIÇÃO]],'INFO AÇÕES'!E:E,'INFO AÇÕES'!I:I),"BRL")</f>
        <v>BRL</v>
      </c>
      <c r="F73" s="75" t="s">
        <v>101</v>
      </c>
      <c r="G73" s="11">
        <v>1</v>
      </c>
      <c r="H73" s="12">
        <v>79.900000000000006</v>
      </c>
      <c r="I73" s="13" t="s">
        <v>107</v>
      </c>
      <c r="J73" s="51">
        <f t="shared" si="2"/>
        <v>79.900000000000006</v>
      </c>
      <c r="K73" s="13" t="s">
        <v>105</v>
      </c>
      <c r="L73">
        <f>MONTH(tb_investimentos[[#This Row],[DATA]])</f>
        <v>1</v>
      </c>
      <c r="M73">
        <f>YEAR(tb_investimentos[[#This Row],[DATA]])</f>
        <v>2027</v>
      </c>
      <c r="N73">
        <f>DAY(tb_investimentos[[#This Row],[DATA]])</f>
        <v>15</v>
      </c>
      <c r="O73">
        <f t="shared" si="3"/>
        <v>59.90000000000002</v>
      </c>
      <c r="P73">
        <f>tb_investimentos[[#This Row],[PREÇO MÉDIO PONDERADO]]*tb_investimentos[[#This Row],[QUANTIDADE]]</f>
        <v>59.90000000000002</v>
      </c>
      <c r="Q73" s="58" t="str">
        <f ca="1">IFERROR(_xlfn.XLOOKUP(tb_investimentos[[#This Row],[DESCRIÇÃO]],tb_acoes[Símbolo do ticker],tb_acoes[Preço]),"")</f>
        <v/>
      </c>
      <c r="R73" s="58" t="str">
        <f ca="1">IFERROR(tb_investimentos[[#This Row],[QUANTIDADE]]*tb_investimentos[[#This Row],[PREÇO MERCADO]],"")</f>
        <v/>
      </c>
      <c r="S73" s="58" t="str">
        <f ca="1">IFERROR(tb_investimentos[[#This Row],[VALOR TOTAL MERCADO]]-tb_investimentos[[#This Row],[VALOR TOTAL PONDERADO]],"")</f>
        <v/>
      </c>
      <c r="T73" s="58" t="str">
        <f ca="1">IFERROR(_xlfn.XLOOKUP(tb_investimentos[[#This Row],[DESCRIÇÃO]],'INFO AÇÕES'!E:E,'INFO AÇÕES'!H:H),"")</f>
        <v/>
      </c>
      <c r="U73" s="59" t="str">
        <f ca="1">IFERROR((tb_investimentos[[#This Row],[VALOR TOTAL MERCADO]]-tb_investimentos[[#This Row],[VALOR TOTAL PONDERADO]])/tb_investimentos[[#This Row],[VALOR TOTAL PONDERADO]],"")</f>
        <v/>
      </c>
    </row>
    <row r="74" spans="2:21" hidden="1" x14ac:dyDescent="0.2">
      <c r="B74" s="13" t="s">
        <v>77</v>
      </c>
      <c r="C74" s="10">
        <v>46402</v>
      </c>
      <c r="D74" s="9" t="s">
        <v>79</v>
      </c>
      <c r="E74" s="11" t="str">
        <f>IF(tb_investimentos[[#This Row],[TIPO MOVIMENTAÇÃO]]="Aporte",_xlfn.XLOOKUP(tb_investimentos[[#This Row],[DESCRIÇÃO]],'INFO AÇÕES'!E:E,'INFO AÇÕES'!I:I),"BRL")</f>
        <v>BRL</v>
      </c>
      <c r="F74" s="75" t="s">
        <v>100</v>
      </c>
      <c r="G74" s="11">
        <v>1</v>
      </c>
      <c r="H74" s="12">
        <v>110</v>
      </c>
      <c r="I74" s="13" t="s">
        <v>107</v>
      </c>
      <c r="J74" s="51">
        <f t="shared" si="2"/>
        <v>110</v>
      </c>
      <c r="K74" s="13" t="s">
        <v>105</v>
      </c>
      <c r="L74">
        <f>MONTH(tb_investimentos[[#This Row],[DATA]])</f>
        <v>1</v>
      </c>
      <c r="M74">
        <f>YEAR(tb_investimentos[[#This Row],[DATA]])</f>
        <v>2027</v>
      </c>
      <c r="N74">
        <f>DAY(tb_investimentos[[#This Row],[DATA]])</f>
        <v>15</v>
      </c>
      <c r="O74">
        <f t="shared" si="3"/>
        <v>110</v>
      </c>
      <c r="P74">
        <f>tb_investimentos[[#This Row],[PREÇO MÉDIO PONDERADO]]*tb_investimentos[[#This Row],[QUANTIDADE]]</f>
        <v>110</v>
      </c>
      <c r="Q74" s="58" t="str">
        <f ca="1">IFERROR(_xlfn.XLOOKUP(tb_investimentos[[#This Row],[DESCRIÇÃO]],tb_acoes[Símbolo do ticker],tb_acoes[Preço]),"")</f>
        <v/>
      </c>
      <c r="R74" s="58" t="str">
        <f ca="1">IFERROR(tb_investimentos[[#This Row],[QUANTIDADE]]*tb_investimentos[[#This Row],[PREÇO MERCADO]],"")</f>
        <v/>
      </c>
      <c r="S74" s="58" t="str">
        <f ca="1">IFERROR(tb_investimentos[[#This Row],[VALOR TOTAL MERCADO]]-tb_investimentos[[#This Row],[VALOR TOTAL PONDERADO]],"")</f>
        <v/>
      </c>
      <c r="T74" s="58" t="str">
        <f ca="1">IFERROR(_xlfn.XLOOKUP(tb_investimentos[[#This Row],[DESCRIÇÃO]],'INFO AÇÕES'!E:E,'INFO AÇÕES'!H:H),"")</f>
        <v/>
      </c>
      <c r="U74" s="59" t="str">
        <f ca="1">IFERROR((tb_investimentos[[#This Row],[VALOR TOTAL MERCADO]]-tb_investimentos[[#This Row],[VALOR TOTAL PONDERADO]])/tb_investimentos[[#This Row],[VALOR TOTAL PONDERADO]],"")</f>
        <v/>
      </c>
    </row>
    <row r="75" spans="2:21" hidden="1" x14ac:dyDescent="0.2">
      <c r="B75" s="13" t="s">
        <v>77</v>
      </c>
      <c r="C75" s="10">
        <v>46402</v>
      </c>
      <c r="D75" s="9" t="s">
        <v>88</v>
      </c>
      <c r="E75" s="11" t="str">
        <f>IF(tb_investimentos[[#This Row],[TIPO MOVIMENTAÇÃO]]="Aporte",_xlfn.XLOOKUP(tb_investimentos[[#This Row],[DESCRIÇÃO]],'INFO AÇÕES'!E:E,'INFO AÇÕES'!I:I),"BRL")</f>
        <v>BRL</v>
      </c>
      <c r="F75" s="75" t="s">
        <v>91</v>
      </c>
      <c r="G75" s="11">
        <v>1</v>
      </c>
      <c r="H75" s="83">
        <v>859.94175999999993</v>
      </c>
      <c r="I75" s="13" t="s">
        <v>107</v>
      </c>
      <c r="J75" s="51">
        <f t="shared" si="2"/>
        <v>859.94175999999993</v>
      </c>
      <c r="K75" s="13" t="s">
        <v>105</v>
      </c>
      <c r="L75">
        <f>MONTH(tb_investimentos[[#This Row],[DATA]])</f>
        <v>1</v>
      </c>
      <c r="M75">
        <f>YEAR(tb_investimentos[[#This Row],[DATA]])</f>
        <v>2027</v>
      </c>
      <c r="N75">
        <f>DAY(tb_investimentos[[#This Row],[DATA]])</f>
        <v>15</v>
      </c>
      <c r="O75">
        <f t="shared" si="3"/>
        <v>1629.9930261538464</v>
      </c>
      <c r="P75">
        <f>tb_investimentos[[#This Row],[PREÇO MÉDIO PONDERADO]]*tb_investimentos[[#This Row],[QUANTIDADE]]</f>
        <v>1629.9930261538464</v>
      </c>
      <c r="Q75" s="58" t="str">
        <f ca="1">IFERROR(_xlfn.XLOOKUP(tb_investimentos[[#This Row],[DESCRIÇÃO]],tb_acoes[Símbolo do ticker],tb_acoes[Preço]),"")</f>
        <v/>
      </c>
      <c r="R75" s="58" t="str">
        <f ca="1">IFERROR(tb_investimentos[[#This Row],[QUANTIDADE]]*tb_investimentos[[#This Row],[PREÇO MERCADO]],"")</f>
        <v/>
      </c>
      <c r="S75" s="58" t="str">
        <f ca="1">IFERROR(tb_investimentos[[#This Row],[VALOR TOTAL MERCADO]]-tb_investimentos[[#This Row],[VALOR TOTAL PONDERADO]],"")</f>
        <v/>
      </c>
      <c r="T75" s="58" t="str">
        <f ca="1">IFERROR(_xlfn.XLOOKUP(tb_investimentos[[#This Row],[DESCRIÇÃO]],'INFO AÇÕES'!E:E,'INFO AÇÕES'!H:H),"")</f>
        <v/>
      </c>
      <c r="U75" s="59" t="str">
        <f ca="1">IFERROR((tb_investimentos[[#This Row],[VALOR TOTAL MERCADO]]-tb_investimentos[[#This Row],[VALOR TOTAL PONDERADO]])/tb_investimentos[[#This Row],[VALOR TOTAL PONDERADO]],"")</f>
        <v/>
      </c>
    </row>
    <row r="76" spans="2:21" hidden="1" x14ac:dyDescent="0.2">
      <c r="B76" s="13" t="s">
        <v>77</v>
      </c>
      <c r="C76" s="10">
        <v>46407</v>
      </c>
      <c r="D76" s="9" t="s">
        <v>94</v>
      </c>
      <c r="E76" s="11" t="str">
        <f>IF(tb_investimentos[[#This Row],[TIPO MOVIMENTAÇÃO]]="Aporte",_xlfn.XLOOKUP(tb_investimentos[[#This Row],[DESCRIÇÃO]],'INFO AÇÕES'!E:E,'INFO AÇÕES'!I:I),"BRL")</f>
        <v>BRL</v>
      </c>
      <c r="F76" s="75" t="s">
        <v>95</v>
      </c>
      <c r="G76" s="11">
        <v>1</v>
      </c>
      <c r="H76" s="12">
        <v>95</v>
      </c>
      <c r="I76" s="13" t="s">
        <v>107</v>
      </c>
      <c r="J76" s="51">
        <f t="shared" si="2"/>
        <v>95</v>
      </c>
      <c r="K76" s="13" t="s">
        <v>105</v>
      </c>
      <c r="L76">
        <f>MONTH(tb_investimentos[[#This Row],[DATA]])</f>
        <v>1</v>
      </c>
      <c r="M76">
        <f>YEAR(tb_investimentos[[#This Row],[DATA]])</f>
        <v>2027</v>
      </c>
      <c r="N76">
        <f>DAY(tb_investimentos[[#This Row],[DATA]])</f>
        <v>20</v>
      </c>
      <c r="O76">
        <f t="shared" si="3"/>
        <v>93.857142857142861</v>
      </c>
      <c r="P76">
        <f>tb_investimentos[[#This Row],[PREÇO MÉDIO PONDERADO]]*tb_investimentos[[#This Row],[QUANTIDADE]]</f>
        <v>93.857142857142861</v>
      </c>
      <c r="Q76" s="58" t="str">
        <f ca="1">IFERROR(_xlfn.XLOOKUP(tb_investimentos[[#This Row],[DESCRIÇÃO]],tb_acoes[Símbolo do ticker],tb_acoes[Preço]),"")</f>
        <v/>
      </c>
      <c r="R76" s="58" t="str">
        <f ca="1">IFERROR(tb_investimentos[[#This Row],[QUANTIDADE]]*tb_investimentos[[#This Row],[PREÇO MERCADO]],"")</f>
        <v/>
      </c>
      <c r="S76" s="58" t="str">
        <f ca="1">IFERROR(tb_investimentos[[#This Row],[VALOR TOTAL MERCADO]]-tb_investimentos[[#This Row],[VALOR TOTAL PONDERADO]],"")</f>
        <v/>
      </c>
      <c r="T76" s="58" t="str">
        <f ca="1">IFERROR(_xlfn.XLOOKUP(tb_investimentos[[#This Row],[DESCRIÇÃO]],'INFO AÇÕES'!E:E,'INFO AÇÕES'!H:H),"")</f>
        <v/>
      </c>
      <c r="U76" s="59" t="str">
        <f ca="1">IFERROR((tb_investimentos[[#This Row],[VALOR TOTAL MERCADO]]-tb_investimentos[[#This Row],[VALOR TOTAL PONDERADO]])/tb_investimentos[[#This Row],[VALOR TOTAL PONDERADO]],"")</f>
        <v/>
      </c>
    </row>
    <row r="77" spans="2:21" hidden="1" x14ac:dyDescent="0.2">
      <c r="B77" s="13" t="s">
        <v>77</v>
      </c>
      <c r="C77" s="10">
        <v>46411</v>
      </c>
      <c r="D77" s="9" t="s">
        <v>84</v>
      </c>
      <c r="E77" s="11" t="str">
        <f>IF(tb_investimentos[[#This Row],[TIPO MOVIMENTAÇÃO]]="Aporte",_xlfn.XLOOKUP(tb_investimentos[[#This Row],[DESCRIÇÃO]],'INFO AÇÕES'!E:E,'INFO AÇÕES'!I:I),"BRL")</f>
        <v>BRL</v>
      </c>
      <c r="F77" s="75" t="s">
        <v>83</v>
      </c>
      <c r="G77" s="11">
        <v>1</v>
      </c>
      <c r="H77" s="12">
        <v>650</v>
      </c>
      <c r="I77" s="13" t="s">
        <v>107</v>
      </c>
      <c r="J77" s="51">
        <f t="shared" si="2"/>
        <v>650</v>
      </c>
      <c r="K77" s="13" t="s">
        <v>105</v>
      </c>
      <c r="L77">
        <f>MONTH(tb_investimentos[[#This Row],[DATA]])</f>
        <v>1</v>
      </c>
      <c r="M77">
        <f>YEAR(tb_investimentos[[#This Row],[DATA]])</f>
        <v>2027</v>
      </c>
      <c r="N77">
        <f>DAY(tb_investimentos[[#This Row],[DATA]])</f>
        <v>24</v>
      </c>
      <c r="O77">
        <f t="shared" si="3"/>
        <v>650</v>
      </c>
      <c r="P77">
        <f>tb_investimentos[[#This Row],[PREÇO MÉDIO PONDERADO]]*tb_investimentos[[#This Row],[QUANTIDADE]]</f>
        <v>650</v>
      </c>
      <c r="Q77" s="58" t="str">
        <f ca="1">IFERROR(_xlfn.XLOOKUP(tb_investimentos[[#This Row],[DESCRIÇÃO]],tb_acoes[Símbolo do ticker],tb_acoes[Preço]),"")</f>
        <v/>
      </c>
      <c r="R77" s="58" t="str">
        <f ca="1">IFERROR(tb_investimentos[[#This Row],[QUANTIDADE]]*tb_investimentos[[#This Row],[PREÇO MERCADO]],"")</f>
        <v/>
      </c>
      <c r="S77" s="58" t="str">
        <f ca="1">IFERROR(tb_investimentos[[#This Row],[VALOR TOTAL MERCADO]]-tb_investimentos[[#This Row],[VALOR TOTAL PONDERADO]],"")</f>
        <v/>
      </c>
      <c r="T77" s="58" t="str">
        <f ca="1">IFERROR(_xlfn.XLOOKUP(tb_investimentos[[#This Row],[DESCRIÇÃO]],'INFO AÇÕES'!E:E,'INFO AÇÕES'!H:H),"")</f>
        <v/>
      </c>
      <c r="U77" s="59" t="str">
        <f ca="1">IFERROR((tb_investimentos[[#This Row],[VALOR TOTAL MERCADO]]-tb_investimentos[[#This Row],[VALOR TOTAL PONDERADO]])/tb_investimentos[[#This Row],[VALOR TOTAL PONDERADO]],"")</f>
        <v/>
      </c>
    </row>
    <row r="78" spans="2:21" hidden="1" x14ac:dyDescent="0.2">
      <c r="B78" s="13" t="s">
        <v>77</v>
      </c>
      <c r="C78" s="10">
        <v>46417</v>
      </c>
      <c r="D78" s="9" t="s">
        <v>82</v>
      </c>
      <c r="E78" s="11" t="str">
        <f>IF(tb_investimentos[[#This Row],[TIPO MOVIMENTAÇÃO]]="Aporte",_xlfn.XLOOKUP(tb_investimentos[[#This Row],[DESCRIÇÃO]],'INFO AÇÕES'!E:E,'INFO AÇÕES'!I:I),"BRL")</f>
        <v>BRL</v>
      </c>
      <c r="F78" s="75" t="s">
        <v>81</v>
      </c>
      <c r="G78" s="11">
        <v>1</v>
      </c>
      <c r="H78" s="12">
        <v>650</v>
      </c>
      <c r="I78" s="13" t="s">
        <v>107</v>
      </c>
      <c r="J78" s="51">
        <f t="shared" si="2"/>
        <v>650</v>
      </c>
      <c r="K78" s="13" t="s">
        <v>105</v>
      </c>
      <c r="L78">
        <f>MONTH(tb_investimentos[[#This Row],[DATA]])</f>
        <v>1</v>
      </c>
      <c r="M78">
        <f>YEAR(tb_investimentos[[#This Row],[DATA]])</f>
        <v>2027</v>
      </c>
      <c r="N78">
        <f>DAY(tb_investimentos[[#This Row],[DATA]])</f>
        <v>30</v>
      </c>
      <c r="O78">
        <f t="shared" si="3"/>
        <v>650</v>
      </c>
      <c r="P78">
        <f>tb_investimentos[[#This Row],[PREÇO MÉDIO PONDERADO]]*tb_investimentos[[#This Row],[QUANTIDADE]]</f>
        <v>650</v>
      </c>
      <c r="Q78" s="58" t="str">
        <f ca="1">IFERROR(_xlfn.XLOOKUP(tb_investimentos[[#This Row],[DESCRIÇÃO]],tb_acoes[Símbolo do ticker],tb_acoes[Preço]),"")</f>
        <v/>
      </c>
      <c r="R78" s="58" t="str">
        <f ca="1">IFERROR(tb_investimentos[[#This Row],[QUANTIDADE]]*tb_investimentos[[#This Row],[PREÇO MERCADO]],"")</f>
        <v/>
      </c>
      <c r="S78" s="58" t="str">
        <f ca="1">IFERROR(tb_investimentos[[#This Row],[VALOR TOTAL MERCADO]]-tb_investimentos[[#This Row],[VALOR TOTAL PONDERADO]],"")</f>
        <v/>
      </c>
      <c r="T78" s="58" t="str">
        <f ca="1">IFERROR(_xlfn.XLOOKUP(tb_investimentos[[#This Row],[DESCRIÇÃO]],'INFO AÇÕES'!E:E,'INFO AÇÕES'!H:H),"")</f>
        <v/>
      </c>
      <c r="U78" s="59" t="str">
        <f ca="1">IFERROR((tb_investimentos[[#This Row],[VALOR TOTAL MERCADO]]-tb_investimentos[[#This Row],[VALOR TOTAL PONDERADO]])/tb_investimentos[[#This Row],[VALOR TOTAL PONDERADO]],"")</f>
        <v/>
      </c>
    </row>
    <row r="79" spans="2:21" hidden="1" x14ac:dyDescent="0.2">
      <c r="B79" s="13" t="s">
        <v>72</v>
      </c>
      <c r="C79" s="72">
        <v>46423</v>
      </c>
      <c r="D79" s="9" t="s">
        <v>76</v>
      </c>
      <c r="E79" s="11" t="str">
        <f>IF(tb_investimentos[[#This Row],[TIPO MOVIMENTAÇÃO]]="Aporte",_xlfn.XLOOKUP(tb_investimentos[[#This Row],[DESCRIÇÃO]],'INFO AÇÕES'!E:E,'INFO AÇÕES'!I:I),"BRL")</f>
        <v>BRL</v>
      </c>
      <c r="F79" s="75" t="s">
        <v>73</v>
      </c>
      <c r="G79" s="11">
        <v>1</v>
      </c>
      <c r="H79" s="12">
        <v>8000</v>
      </c>
      <c r="I79" s="13" t="s">
        <v>107</v>
      </c>
      <c r="J79" s="51">
        <f t="shared" si="2"/>
        <v>8000</v>
      </c>
      <c r="K79" s="13" t="s">
        <v>105</v>
      </c>
      <c r="L79">
        <f>MONTH(tb_investimentos[[#This Row],[DATA]])</f>
        <v>2</v>
      </c>
      <c r="M79">
        <f>YEAR(tb_investimentos[[#This Row],[DATA]])</f>
        <v>2027</v>
      </c>
      <c r="N79">
        <f>DAY(tb_investimentos[[#This Row],[DATA]])</f>
        <v>5</v>
      </c>
      <c r="O79">
        <f t="shared" si="3"/>
        <v>7801.7948717948721</v>
      </c>
      <c r="P79">
        <f>tb_investimentos[[#This Row],[PREÇO MÉDIO PONDERADO]]*tb_investimentos[[#This Row],[QUANTIDADE]]</f>
        <v>7801.7948717948721</v>
      </c>
      <c r="Q79" s="58" t="str">
        <f ca="1">IFERROR(_xlfn.XLOOKUP(tb_investimentos[[#This Row],[DESCRIÇÃO]],tb_acoes[Símbolo do ticker],tb_acoes[Preço]),"")</f>
        <v/>
      </c>
      <c r="R79" s="58" t="str">
        <f ca="1">IFERROR(tb_investimentos[[#This Row],[QUANTIDADE]]*tb_investimentos[[#This Row],[PREÇO MERCADO]],"")</f>
        <v/>
      </c>
      <c r="S79" s="58" t="str">
        <f ca="1">IFERROR(tb_investimentos[[#This Row],[VALOR TOTAL MERCADO]]-tb_investimentos[[#This Row],[VALOR TOTAL PONDERADO]],"")</f>
        <v/>
      </c>
      <c r="T79" s="58" t="str">
        <f ca="1">IFERROR(_xlfn.XLOOKUP(tb_investimentos[[#This Row],[DESCRIÇÃO]],'INFO AÇÕES'!E:E,'INFO AÇÕES'!H:H),"")</f>
        <v/>
      </c>
      <c r="U79" s="59" t="str">
        <f ca="1">IFERROR((tb_investimentos[[#This Row],[VALOR TOTAL MERCADO]]-tb_investimentos[[#This Row],[VALOR TOTAL PONDERADO]])/tb_investimentos[[#This Row],[VALOR TOTAL PONDERADO]],"")</f>
        <v/>
      </c>
    </row>
    <row r="80" spans="2:21" hidden="1" x14ac:dyDescent="0.2">
      <c r="B80" s="13" t="s">
        <v>72</v>
      </c>
      <c r="C80" s="10">
        <v>46423</v>
      </c>
      <c r="D80" s="9" t="s">
        <v>75</v>
      </c>
      <c r="E80" s="11" t="str">
        <f>IF(tb_investimentos[[#This Row],[TIPO MOVIMENTAÇÃO]]="Aporte",_xlfn.XLOOKUP(tb_investimentos[[#This Row],[DESCRIÇÃO]],'INFO AÇÕES'!E:E,'INFO AÇÕES'!I:I),"BRL")</f>
        <v>BRL</v>
      </c>
      <c r="F80" s="75" t="s">
        <v>74</v>
      </c>
      <c r="G80" s="11">
        <v>1</v>
      </c>
      <c r="H80" s="12">
        <v>700</v>
      </c>
      <c r="I80" s="13" t="s">
        <v>107</v>
      </c>
      <c r="J80" s="51">
        <f t="shared" si="2"/>
        <v>700</v>
      </c>
      <c r="K80" s="13" t="s">
        <v>105</v>
      </c>
      <c r="L80">
        <f>MONTH(tb_investimentos[[#This Row],[DATA]])</f>
        <v>2</v>
      </c>
      <c r="M80">
        <f>YEAR(tb_investimentos[[#This Row],[DATA]])</f>
        <v>2027</v>
      </c>
      <c r="N80">
        <f>DAY(tb_investimentos[[#This Row],[DATA]])</f>
        <v>5</v>
      </c>
      <c r="O80">
        <f t="shared" si="3"/>
        <v>770</v>
      </c>
      <c r="P80">
        <f>tb_investimentos[[#This Row],[PREÇO MÉDIO PONDERADO]]*tb_investimentos[[#This Row],[QUANTIDADE]]</f>
        <v>770</v>
      </c>
      <c r="Q80" s="58" t="str">
        <f ca="1">IFERROR(_xlfn.XLOOKUP(tb_investimentos[[#This Row],[DESCRIÇÃO]],tb_acoes[Símbolo do ticker],tb_acoes[Preço]),"")</f>
        <v/>
      </c>
      <c r="R80" s="58" t="str">
        <f ca="1">IFERROR(tb_investimentos[[#This Row],[QUANTIDADE]]*tb_investimentos[[#This Row],[PREÇO MERCADO]],"")</f>
        <v/>
      </c>
      <c r="S80" s="58" t="str">
        <f ca="1">IFERROR(tb_investimentos[[#This Row],[VALOR TOTAL MERCADO]]-tb_investimentos[[#This Row],[VALOR TOTAL PONDERADO]],"")</f>
        <v/>
      </c>
      <c r="T80" s="58" t="str">
        <f ca="1">IFERROR(_xlfn.XLOOKUP(tb_investimentos[[#This Row],[DESCRIÇÃO]],'INFO AÇÕES'!E:E,'INFO AÇÕES'!H:H),"")</f>
        <v/>
      </c>
      <c r="U80" s="59" t="str">
        <f ca="1">IFERROR((tb_investimentos[[#This Row],[VALOR TOTAL MERCADO]]-tb_investimentos[[#This Row],[VALOR TOTAL PONDERADO]])/tb_investimentos[[#This Row],[VALOR TOTAL PONDERADO]],"")</f>
        <v/>
      </c>
    </row>
    <row r="81" spans="2:21" hidden="1" x14ac:dyDescent="0.2">
      <c r="B81" s="13" t="s">
        <v>77</v>
      </c>
      <c r="C81" s="10">
        <v>46423</v>
      </c>
      <c r="D81" s="9" t="s">
        <v>92</v>
      </c>
      <c r="E81" s="11" t="str">
        <f>IF(tb_investimentos[[#This Row],[TIPO MOVIMENTAÇÃO]]="Aporte",_xlfn.XLOOKUP(tb_investimentos[[#This Row],[DESCRIÇÃO]],'INFO AÇÕES'!E:E,'INFO AÇÕES'!I:I),"BRL")</f>
        <v>BRL</v>
      </c>
      <c r="F81" s="75" t="s">
        <v>93</v>
      </c>
      <c r="G81" s="11">
        <v>1</v>
      </c>
      <c r="H81" s="12">
        <v>205</v>
      </c>
      <c r="I81" s="13" t="s">
        <v>107</v>
      </c>
      <c r="J81" s="51">
        <f t="shared" si="2"/>
        <v>205</v>
      </c>
      <c r="K81" s="13" t="s">
        <v>105</v>
      </c>
      <c r="L81">
        <f>MONTH(tb_investimentos[[#This Row],[DATA]])</f>
        <v>2</v>
      </c>
      <c r="M81">
        <f>YEAR(tb_investimentos[[#This Row],[DATA]])</f>
        <v>2027</v>
      </c>
      <c r="N81">
        <f>DAY(tb_investimentos[[#This Row],[DATA]])</f>
        <v>5</v>
      </c>
      <c r="O81">
        <f t="shared" si="3"/>
        <v>205</v>
      </c>
      <c r="P81">
        <f>tb_investimentos[[#This Row],[PREÇO MÉDIO PONDERADO]]*tb_investimentos[[#This Row],[QUANTIDADE]]</f>
        <v>205</v>
      </c>
      <c r="Q81" s="58" t="str">
        <f ca="1">IFERROR(_xlfn.XLOOKUP(tb_investimentos[[#This Row],[DESCRIÇÃO]],tb_acoes[Símbolo do ticker],tb_acoes[Preço]),"")</f>
        <v/>
      </c>
      <c r="R81" s="58" t="str">
        <f ca="1">IFERROR(tb_investimentos[[#This Row],[QUANTIDADE]]*tb_investimentos[[#This Row],[PREÇO MERCADO]],"")</f>
        <v/>
      </c>
      <c r="S81" s="58" t="str">
        <f ca="1">IFERROR(tb_investimentos[[#This Row],[VALOR TOTAL MERCADO]]-tb_investimentos[[#This Row],[VALOR TOTAL PONDERADO]],"")</f>
        <v/>
      </c>
      <c r="T81" s="58" t="str">
        <f ca="1">IFERROR(_xlfn.XLOOKUP(tb_investimentos[[#This Row],[DESCRIÇÃO]],'INFO AÇÕES'!E:E,'INFO AÇÕES'!H:H),"")</f>
        <v/>
      </c>
      <c r="U81" s="59" t="str">
        <f ca="1">IFERROR((tb_investimentos[[#This Row],[VALOR TOTAL MERCADO]]-tb_investimentos[[#This Row],[VALOR TOTAL PONDERADO]])/tb_investimentos[[#This Row],[VALOR TOTAL PONDERADO]],"")</f>
        <v/>
      </c>
    </row>
    <row r="82" spans="2:21" hidden="1" x14ac:dyDescent="0.2">
      <c r="B82" s="13" t="s">
        <v>77</v>
      </c>
      <c r="C82" s="10">
        <v>46423</v>
      </c>
      <c r="D82" s="9" t="s">
        <v>107</v>
      </c>
      <c r="E82" s="11" t="str">
        <f>IF(tb_investimentos[[#This Row],[TIPO MOVIMENTAÇÃO]]="Aporte",_xlfn.XLOOKUP(tb_investimentos[[#This Row],[DESCRIÇÃO]],'INFO AÇÕES'!E:E,'INFO AÇÕES'!I:I),"BRL")</f>
        <v>BRL</v>
      </c>
      <c r="F82" s="75" t="s">
        <v>106</v>
      </c>
      <c r="G82" s="11">
        <v>1</v>
      </c>
      <c r="H82" s="12">
        <v>500</v>
      </c>
      <c r="I82" s="13" t="s">
        <v>107</v>
      </c>
      <c r="J82" s="51">
        <f t="shared" si="2"/>
        <v>500</v>
      </c>
      <c r="K82" s="13" t="s">
        <v>105</v>
      </c>
      <c r="L82">
        <f>MONTH(tb_investimentos[[#This Row],[DATA]])</f>
        <v>2</v>
      </c>
      <c r="M82">
        <f>YEAR(tb_investimentos[[#This Row],[DATA]])</f>
        <v>2027</v>
      </c>
      <c r="N82">
        <f>DAY(tb_investimentos[[#This Row],[DATA]])</f>
        <v>5</v>
      </c>
      <c r="O82">
        <f t="shared" si="3"/>
        <v>515.93333333333328</v>
      </c>
      <c r="P82">
        <f>tb_investimentos[[#This Row],[PREÇO MÉDIO PONDERADO]]*tb_investimentos[[#This Row],[QUANTIDADE]]</f>
        <v>515.93333333333328</v>
      </c>
      <c r="Q82" s="58" t="str">
        <f ca="1">IFERROR(_xlfn.XLOOKUP(tb_investimentos[[#This Row],[DESCRIÇÃO]],tb_acoes[Símbolo do ticker],tb_acoes[Preço]),"")</f>
        <v/>
      </c>
      <c r="R82" s="58" t="str">
        <f ca="1">IFERROR(tb_investimentos[[#This Row],[QUANTIDADE]]*tb_investimentos[[#This Row],[PREÇO MERCADO]],"")</f>
        <v/>
      </c>
      <c r="S82" s="58" t="str">
        <f ca="1">IFERROR(tb_investimentos[[#This Row],[VALOR TOTAL MERCADO]]-tb_investimentos[[#This Row],[VALOR TOTAL PONDERADO]],"")</f>
        <v/>
      </c>
      <c r="T82" s="58" t="str">
        <f ca="1">IFERROR(_xlfn.XLOOKUP(tb_investimentos[[#This Row],[DESCRIÇÃO]],'INFO AÇÕES'!E:E,'INFO AÇÕES'!H:H),"")</f>
        <v/>
      </c>
      <c r="U82" s="59" t="str">
        <f ca="1">IFERROR((tb_investimentos[[#This Row],[VALOR TOTAL MERCADO]]-tb_investimentos[[#This Row],[VALOR TOTAL PONDERADO]])/tb_investimentos[[#This Row],[VALOR TOTAL PONDERADO]],"")</f>
        <v/>
      </c>
    </row>
    <row r="83" spans="2:21" hidden="1" x14ac:dyDescent="0.2">
      <c r="B83" s="13" t="s">
        <v>39</v>
      </c>
      <c r="C83" s="10">
        <v>46423</v>
      </c>
      <c r="D83" s="9"/>
      <c r="E83" s="11">
        <f ca="1">IF(tb_investimentos[[#This Row],[TIPO MOVIMENTAÇÃO]]="Aporte",_xlfn.XLOOKUP(tb_investimentos[[#This Row],[DESCRIÇÃO]],'INFO AÇÕES'!E:E,'INFO AÇÕES'!I:I),"BRL")</f>
        <v>0</v>
      </c>
      <c r="F83" s="73" t="s">
        <v>10</v>
      </c>
      <c r="G83" s="11">
        <v>1</v>
      </c>
      <c r="H83" s="12">
        <v>2500</v>
      </c>
      <c r="I83" s="13" t="s">
        <v>58</v>
      </c>
      <c r="J83" s="51">
        <f t="shared" si="2"/>
        <v>2500</v>
      </c>
      <c r="K83" s="11" t="s">
        <v>105</v>
      </c>
      <c r="L83">
        <f>MONTH(tb_investimentos[[#This Row],[DATA]])</f>
        <v>2</v>
      </c>
      <c r="M83">
        <f>YEAR(tb_investimentos[[#This Row],[DATA]])</f>
        <v>2027</v>
      </c>
      <c r="N83">
        <f>DAY(tb_investimentos[[#This Row],[DATA]])</f>
        <v>5</v>
      </c>
      <c r="O83" t="e">
        <f t="shared" si="3"/>
        <v>#DIV/0!</v>
      </c>
      <c r="P83" t="e">
        <f>tb_investimentos[[#This Row],[PREÇO MÉDIO PONDERADO]]*tb_investimentos[[#This Row],[QUANTIDADE]]</f>
        <v>#DIV/0!</v>
      </c>
      <c r="Q83" s="58" t="str">
        <f ca="1">IFERROR(_xlfn.XLOOKUP(tb_investimentos[[#This Row],[DESCRIÇÃO]],tb_acoes[Símbolo do ticker],tb_acoes[Preço]),"")</f>
        <v/>
      </c>
      <c r="R83" s="58" t="str">
        <f ca="1">IFERROR(tb_investimentos[[#This Row],[QUANTIDADE]]*tb_investimentos[[#This Row],[PREÇO MERCADO]],"")</f>
        <v/>
      </c>
      <c r="S83" s="58" t="str">
        <f ca="1">IFERROR(tb_investimentos[[#This Row],[VALOR TOTAL MERCADO]]-tb_investimentos[[#This Row],[VALOR TOTAL PONDERADO]],"")</f>
        <v/>
      </c>
      <c r="T83" s="58" t="str">
        <f ca="1">IFERROR(_xlfn.XLOOKUP(tb_investimentos[[#This Row],[DESCRIÇÃO]],'INFO AÇÕES'!E:E,'INFO AÇÕES'!H:H),"")</f>
        <v/>
      </c>
      <c r="U83" s="59" t="str">
        <f ca="1">IFERROR((tb_investimentos[[#This Row],[VALOR TOTAL MERCADO]]-tb_investimentos[[#This Row],[VALOR TOTAL PONDERADO]])/tb_investimentos[[#This Row],[VALOR TOTAL PONDERADO]],"")</f>
        <v/>
      </c>
    </row>
    <row r="84" spans="2:21" hidden="1" x14ac:dyDescent="0.2">
      <c r="B84" s="13" t="s">
        <v>77</v>
      </c>
      <c r="C84" s="10">
        <v>46426</v>
      </c>
      <c r="D84" s="9" t="s">
        <v>80</v>
      </c>
      <c r="E84" s="11" t="str">
        <f>IF(tb_investimentos[[#This Row],[TIPO MOVIMENTAÇÃO]]="Aporte",_xlfn.XLOOKUP(tb_investimentos[[#This Row],[DESCRIÇÃO]],'INFO AÇÕES'!E:E,'INFO AÇÕES'!I:I),"BRL")</f>
        <v>BRL</v>
      </c>
      <c r="F84" s="75" t="s">
        <v>99</v>
      </c>
      <c r="G84" s="11">
        <v>1</v>
      </c>
      <c r="H84" s="12">
        <v>25</v>
      </c>
      <c r="I84" s="13" t="s">
        <v>107</v>
      </c>
      <c r="J84" s="51">
        <f t="shared" si="2"/>
        <v>25</v>
      </c>
      <c r="K84" s="13" t="s">
        <v>105</v>
      </c>
      <c r="L84">
        <f>MONTH(tb_investimentos[[#This Row],[DATA]])</f>
        <v>2</v>
      </c>
      <c r="M84">
        <f>YEAR(tb_investimentos[[#This Row],[DATA]])</f>
        <v>2027</v>
      </c>
      <c r="N84">
        <f>DAY(tb_investimentos[[#This Row],[DATA]])</f>
        <v>8</v>
      </c>
      <c r="O84">
        <f t="shared" si="3"/>
        <v>25</v>
      </c>
      <c r="P84">
        <f>tb_investimentos[[#This Row],[PREÇO MÉDIO PONDERADO]]*tb_investimentos[[#This Row],[QUANTIDADE]]</f>
        <v>25</v>
      </c>
      <c r="Q84" s="58" t="str">
        <f ca="1">IFERROR(_xlfn.XLOOKUP(tb_investimentos[[#This Row],[DESCRIÇÃO]],tb_acoes[Símbolo do ticker],tb_acoes[Preço]),"")</f>
        <v/>
      </c>
      <c r="R84" s="58" t="str">
        <f ca="1">IFERROR(tb_investimentos[[#This Row],[QUANTIDADE]]*tb_investimentos[[#This Row],[PREÇO MERCADO]],"")</f>
        <v/>
      </c>
      <c r="S84" s="58" t="str">
        <f ca="1">IFERROR(tb_investimentos[[#This Row],[VALOR TOTAL MERCADO]]-tb_investimentos[[#This Row],[VALOR TOTAL PONDERADO]],"")</f>
        <v/>
      </c>
      <c r="T84" s="58" t="str">
        <f ca="1">IFERROR(_xlfn.XLOOKUP(tb_investimentos[[#This Row],[DESCRIÇÃO]],'INFO AÇÕES'!E:E,'INFO AÇÕES'!H:H),"")</f>
        <v/>
      </c>
      <c r="U84" s="59" t="str">
        <f ca="1">IFERROR((tb_investimentos[[#This Row],[VALOR TOTAL MERCADO]]-tb_investimentos[[#This Row],[VALOR TOTAL PONDERADO]])/tb_investimentos[[#This Row],[VALOR TOTAL PONDERADO]],"")</f>
        <v/>
      </c>
    </row>
    <row r="85" spans="2:21" hidden="1" x14ac:dyDescent="0.2">
      <c r="B85" s="13" t="s">
        <v>77</v>
      </c>
      <c r="C85" s="10">
        <v>46428</v>
      </c>
      <c r="D85" s="9" t="s">
        <v>85</v>
      </c>
      <c r="E85" s="11" t="str">
        <f>IF(tb_investimentos[[#This Row],[TIPO MOVIMENTAÇÃO]]="Aporte",_xlfn.XLOOKUP(tb_investimentos[[#This Row],[DESCRIÇÃO]],'INFO AÇÕES'!E:E,'INFO AÇÕES'!I:I),"BRL")</f>
        <v>BRL</v>
      </c>
      <c r="F85" s="75" t="s">
        <v>104</v>
      </c>
      <c r="G85" s="11">
        <v>1</v>
      </c>
      <c r="H85" s="12">
        <v>95</v>
      </c>
      <c r="I85" s="13" t="s">
        <v>107</v>
      </c>
      <c r="J85" s="51">
        <f t="shared" si="2"/>
        <v>95</v>
      </c>
      <c r="K85" s="13" t="s">
        <v>105</v>
      </c>
      <c r="L85">
        <f>MONTH(tb_investimentos[[#This Row],[DATA]])</f>
        <v>2</v>
      </c>
      <c r="M85">
        <f>YEAR(tb_investimentos[[#This Row],[DATA]])</f>
        <v>2027</v>
      </c>
      <c r="N85">
        <f>DAY(tb_investimentos[[#This Row],[DATA]])</f>
        <v>10</v>
      </c>
      <c r="O85">
        <f t="shared" si="3"/>
        <v>95</v>
      </c>
      <c r="P85">
        <f>tb_investimentos[[#This Row],[PREÇO MÉDIO PONDERADO]]*tb_investimentos[[#This Row],[QUANTIDADE]]</f>
        <v>95</v>
      </c>
      <c r="Q85" s="58" t="str">
        <f ca="1">IFERROR(_xlfn.XLOOKUP(tb_investimentos[[#This Row],[DESCRIÇÃO]],tb_acoes[Símbolo do ticker],tb_acoes[Preço]),"")</f>
        <v/>
      </c>
      <c r="R85" s="58" t="str">
        <f ca="1">IFERROR(tb_investimentos[[#This Row],[QUANTIDADE]]*tb_investimentos[[#This Row],[PREÇO MERCADO]],"")</f>
        <v/>
      </c>
      <c r="S85" s="58" t="str">
        <f ca="1">IFERROR(tb_investimentos[[#This Row],[VALOR TOTAL MERCADO]]-tb_investimentos[[#This Row],[VALOR TOTAL PONDERADO]],"")</f>
        <v/>
      </c>
      <c r="T85" s="58" t="str">
        <f ca="1">IFERROR(_xlfn.XLOOKUP(tb_investimentos[[#This Row],[DESCRIÇÃO]],'INFO AÇÕES'!E:E,'INFO AÇÕES'!H:H),"")</f>
        <v/>
      </c>
      <c r="U85" s="59" t="str">
        <f ca="1">IFERROR((tb_investimentos[[#This Row],[VALOR TOTAL MERCADO]]-tb_investimentos[[#This Row],[VALOR TOTAL PONDERADO]])/tb_investimentos[[#This Row],[VALOR TOTAL PONDERADO]],"")</f>
        <v/>
      </c>
    </row>
    <row r="86" spans="2:21" hidden="1" x14ac:dyDescent="0.2">
      <c r="B86" s="13" t="s">
        <v>77</v>
      </c>
      <c r="C86" s="10">
        <v>46430</v>
      </c>
      <c r="D86" s="9" t="s">
        <v>89</v>
      </c>
      <c r="E86" s="11" t="str">
        <f>IF(tb_investimentos[[#This Row],[TIPO MOVIMENTAÇÃO]]="Aporte",_xlfn.XLOOKUP(tb_investimentos[[#This Row],[DESCRIÇÃO]],'INFO AÇÕES'!E:E,'INFO AÇÕES'!I:I),"BRL")</f>
        <v>BRL</v>
      </c>
      <c r="F86" s="75" t="s">
        <v>90</v>
      </c>
      <c r="G86" s="11">
        <v>1</v>
      </c>
      <c r="H86" s="12">
        <v>16.899999999999999</v>
      </c>
      <c r="I86" s="13" t="s">
        <v>107</v>
      </c>
      <c r="J86" s="51">
        <f t="shared" si="2"/>
        <v>16.899999999999999</v>
      </c>
      <c r="K86" s="13" t="s">
        <v>105</v>
      </c>
      <c r="L86">
        <f>MONTH(tb_investimentos[[#This Row],[DATA]])</f>
        <v>2</v>
      </c>
      <c r="M86">
        <f>YEAR(tb_investimentos[[#This Row],[DATA]])</f>
        <v>2027</v>
      </c>
      <c r="N86">
        <f>DAY(tb_investimentos[[#This Row],[DATA]])</f>
        <v>12</v>
      </c>
      <c r="O86">
        <f t="shared" si="3"/>
        <v>137.33453714285722</v>
      </c>
      <c r="P86">
        <f>tb_investimentos[[#This Row],[PREÇO MÉDIO PONDERADO]]*tb_investimentos[[#This Row],[QUANTIDADE]]</f>
        <v>137.33453714285722</v>
      </c>
      <c r="Q86" s="58" t="str">
        <f ca="1">IFERROR(_xlfn.XLOOKUP(tb_investimentos[[#This Row],[DESCRIÇÃO]],tb_acoes[Símbolo do ticker],tb_acoes[Preço]),"")</f>
        <v/>
      </c>
      <c r="R86" s="58" t="str">
        <f ca="1">IFERROR(tb_investimentos[[#This Row],[QUANTIDADE]]*tb_investimentos[[#This Row],[PREÇO MERCADO]],"")</f>
        <v/>
      </c>
      <c r="S86" s="58" t="str">
        <f ca="1">IFERROR(tb_investimentos[[#This Row],[VALOR TOTAL MERCADO]]-tb_investimentos[[#This Row],[VALOR TOTAL PONDERADO]],"")</f>
        <v/>
      </c>
      <c r="T86" s="58" t="str">
        <f ca="1">IFERROR(_xlfn.XLOOKUP(tb_investimentos[[#This Row],[DESCRIÇÃO]],'INFO AÇÕES'!E:E,'INFO AÇÕES'!H:H),"")</f>
        <v/>
      </c>
      <c r="U86" s="59" t="str">
        <f ca="1">IFERROR((tb_investimentos[[#This Row],[VALOR TOTAL MERCADO]]-tb_investimentos[[#This Row],[VALOR TOTAL PONDERADO]])/tb_investimentos[[#This Row],[VALOR TOTAL PONDERADO]],"")</f>
        <v/>
      </c>
    </row>
    <row r="87" spans="2:21" hidden="1" x14ac:dyDescent="0.2">
      <c r="B87" s="13" t="s">
        <v>77</v>
      </c>
      <c r="C87" s="72">
        <v>46433</v>
      </c>
      <c r="D87" s="9" t="s">
        <v>78</v>
      </c>
      <c r="E87" s="11" t="str">
        <f>IF(tb_investimentos[[#This Row],[TIPO MOVIMENTAÇÃO]]="Aporte",_xlfn.XLOOKUP(tb_investimentos[[#This Row],[DESCRIÇÃO]],'INFO AÇÕES'!E:E,'INFO AÇÕES'!I:I),"BRL")</f>
        <v>BRL</v>
      </c>
      <c r="F87" s="75" t="s">
        <v>102</v>
      </c>
      <c r="G87" s="11">
        <v>1</v>
      </c>
      <c r="H87" s="12">
        <v>39.9</v>
      </c>
      <c r="I87" s="13" t="s">
        <v>107</v>
      </c>
      <c r="J87" s="51">
        <f t="shared" si="2"/>
        <v>39.9</v>
      </c>
      <c r="K87" s="13" t="s">
        <v>105</v>
      </c>
      <c r="L87">
        <f>MONTH(tb_investimentos[[#This Row],[DATA]])</f>
        <v>2</v>
      </c>
      <c r="M87">
        <f>YEAR(tb_investimentos[[#This Row],[DATA]])</f>
        <v>2027</v>
      </c>
      <c r="N87">
        <f>DAY(tb_investimentos[[#This Row],[DATA]])</f>
        <v>15</v>
      </c>
      <c r="O87">
        <f t="shared" si="3"/>
        <v>59.90000000000002</v>
      </c>
      <c r="P87">
        <f>tb_investimentos[[#This Row],[PREÇO MÉDIO PONDERADO]]*tb_investimentos[[#This Row],[QUANTIDADE]]</f>
        <v>59.90000000000002</v>
      </c>
      <c r="Q87" s="58" t="str">
        <f ca="1">IFERROR(_xlfn.XLOOKUP(tb_investimentos[[#This Row],[DESCRIÇÃO]],tb_acoes[Símbolo do ticker],tb_acoes[Preço]),"")</f>
        <v/>
      </c>
      <c r="R87" s="58" t="str">
        <f ca="1">IFERROR(tb_investimentos[[#This Row],[QUANTIDADE]]*tb_investimentos[[#This Row],[PREÇO MERCADO]],"")</f>
        <v/>
      </c>
      <c r="S87" s="58" t="str">
        <f ca="1">IFERROR(tb_investimentos[[#This Row],[VALOR TOTAL MERCADO]]-tb_investimentos[[#This Row],[VALOR TOTAL PONDERADO]],"")</f>
        <v/>
      </c>
      <c r="T87" s="58" t="str">
        <f ca="1">IFERROR(_xlfn.XLOOKUP(tb_investimentos[[#This Row],[DESCRIÇÃO]],'INFO AÇÕES'!E:E,'INFO AÇÕES'!H:H),"")</f>
        <v/>
      </c>
      <c r="U87" s="59" t="str">
        <f ca="1">IFERROR((tb_investimentos[[#This Row],[VALOR TOTAL MERCADO]]-tb_investimentos[[#This Row],[VALOR TOTAL PONDERADO]])/tb_investimentos[[#This Row],[VALOR TOTAL PONDERADO]],"")</f>
        <v/>
      </c>
    </row>
    <row r="88" spans="2:21" hidden="1" x14ac:dyDescent="0.2">
      <c r="B88" s="13" t="s">
        <v>77</v>
      </c>
      <c r="C88" s="72">
        <v>46433</v>
      </c>
      <c r="D88" s="9" t="s">
        <v>78</v>
      </c>
      <c r="E88" s="11" t="str">
        <f>IF(tb_investimentos[[#This Row],[TIPO MOVIMENTAÇÃO]]="Aporte",_xlfn.XLOOKUP(tb_investimentos[[#This Row],[DESCRIÇÃO]],'INFO AÇÕES'!E:E,'INFO AÇÕES'!I:I),"BRL")</f>
        <v>BRL</v>
      </c>
      <c r="F88" s="75" t="s">
        <v>101</v>
      </c>
      <c r="G88" s="11">
        <v>1</v>
      </c>
      <c r="H88" s="12">
        <v>79.900000000000006</v>
      </c>
      <c r="I88" s="13" t="s">
        <v>107</v>
      </c>
      <c r="J88" s="51">
        <f t="shared" si="2"/>
        <v>79.900000000000006</v>
      </c>
      <c r="K88" s="13" t="s">
        <v>105</v>
      </c>
      <c r="L88">
        <f>MONTH(tb_investimentos[[#This Row],[DATA]])</f>
        <v>2</v>
      </c>
      <c r="M88">
        <f>YEAR(tb_investimentos[[#This Row],[DATA]])</f>
        <v>2027</v>
      </c>
      <c r="N88">
        <f>DAY(tb_investimentos[[#This Row],[DATA]])</f>
        <v>15</v>
      </c>
      <c r="O88">
        <f t="shared" si="3"/>
        <v>59.90000000000002</v>
      </c>
      <c r="P88">
        <f>tb_investimentos[[#This Row],[PREÇO MÉDIO PONDERADO]]*tb_investimentos[[#This Row],[QUANTIDADE]]</f>
        <v>59.90000000000002</v>
      </c>
      <c r="Q88" s="58" t="str">
        <f ca="1">IFERROR(_xlfn.XLOOKUP(tb_investimentos[[#This Row],[DESCRIÇÃO]],tb_acoes[Símbolo do ticker],tb_acoes[Preço]),"")</f>
        <v/>
      </c>
      <c r="R88" s="58" t="str">
        <f ca="1">IFERROR(tb_investimentos[[#This Row],[QUANTIDADE]]*tb_investimentos[[#This Row],[PREÇO MERCADO]],"")</f>
        <v/>
      </c>
      <c r="S88" s="58" t="str">
        <f ca="1">IFERROR(tb_investimentos[[#This Row],[VALOR TOTAL MERCADO]]-tb_investimentos[[#This Row],[VALOR TOTAL PONDERADO]],"")</f>
        <v/>
      </c>
      <c r="T88" s="58" t="str">
        <f ca="1">IFERROR(_xlfn.XLOOKUP(tb_investimentos[[#This Row],[DESCRIÇÃO]],'INFO AÇÕES'!E:E,'INFO AÇÕES'!H:H),"")</f>
        <v/>
      </c>
      <c r="U88" s="59" t="str">
        <f ca="1">IFERROR((tb_investimentos[[#This Row],[VALOR TOTAL MERCADO]]-tb_investimentos[[#This Row],[VALOR TOTAL PONDERADO]])/tb_investimentos[[#This Row],[VALOR TOTAL PONDERADO]],"")</f>
        <v/>
      </c>
    </row>
    <row r="89" spans="2:21" hidden="1" x14ac:dyDescent="0.2">
      <c r="B89" s="13" t="s">
        <v>77</v>
      </c>
      <c r="C89" s="72">
        <v>46433</v>
      </c>
      <c r="D89" s="9" t="s">
        <v>79</v>
      </c>
      <c r="E89" s="11" t="str">
        <f>IF(tb_investimentos[[#This Row],[TIPO MOVIMENTAÇÃO]]="Aporte",_xlfn.XLOOKUP(tb_investimentos[[#This Row],[DESCRIÇÃO]],'INFO AÇÕES'!E:E,'INFO AÇÕES'!I:I),"BRL")</f>
        <v>BRL</v>
      </c>
      <c r="F89" s="75" t="s">
        <v>100</v>
      </c>
      <c r="G89" s="11">
        <v>1</v>
      </c>
      <c r="H89" s="12">
        <v>110</v>
      </c>
      <c r="I89" s="13" t="s">
        <v>107</v>
      </c>
      <c r="J89" s="51">
        <f t="shared" si="2"/>
        <v>110</v>
      </c>
      <c r="K89" s="13" t="s">
        <v>105</v>
      </c>
      <c r="L89">
        <f>MONTH(tb_investimentos[[#This Row],[DATA]])</f>
        <v>2</v>
      </c>
      <c r="M89">
        <f>YEAR(tb_investimentos[[#This Row],[DATA]])</f>
        <v>2027</v>
      </c>
      <c r="N89">
        <f>DAY(tb_investimentos[[#This Row],[DATA]])</f>
        <v>15</v>
      </c>
      <c r="O89">
        <f t="shared" si="3"/>
        <v>110</v>
      </c>
      <c r="P89">
        <f>tb_investimentos[[#This Row],[PREÇO MÉDIO PONDERADO]]*tb_investimentos[[#This Row],[QUANTIDADE]]</f>
        <v>110</v>
      </c>
      <c r="Q89" s="58" t="str">
        <f ca="1">IFERROR(_xlfn.XLOOKUP(tb_investimentos[[#This Row],[DESCRIÇÃO]],tb_acoes[Símbolo do ticker],tb_acoes[Preço]),"")</f>
        <v/>
      </c>
      <c r="R89" s="58" t="str">
        <f ca="1">IFERROR(tb_investimentos[[#This Row],[QUANTIDADE]]*tb_investimentos[[#This Row],[PREÇO MERCADO]],"")</f>
        <v/>
      </c>
      <c r="S89" s="58" t="str">
        <f ca="1">IFERROR(tb_investimentos[[#This Row],[VALOR TOTAL MERCADO]]-tb_investimentos[[#This Row],[VALOR TOTAL PONDERADO]],"")</f>
        <v/>
      </c>
      <c r="T89" s="58" t="str">
        <f ca="1">IFERROR(_xlfn.XLOOKUP(tb_investimentos[[#This Row],[DESCRIÇÃO]],'INFO AÇÕES'!E:E,'INFO AÇÕES'!H:H),"")</f>
        <v/>
      </c>
      <c r="U89" s="59" t="str">
        <f ca="1">IFERROR((tb_investimentos[[#This Row],[VALOR TOTAL MERCADO]]-tb_investimentos[[#This Row],[VALOR TOTAL PONDERADO]])/tb_investimentos[[#This Row],[VALOR TOTAL PONDERADO]],"")</f>
        <v/>
      </c>
    </row>
    <row r="90" spans="2:21" hidden="1" x14ac:dyDescent="0.2">
      <c r="B90" s="13" t="s">
        <v>77</v>
      </c>
      <c r="C90" s="10">
        <v>46433</v>
      </c>
      <c r="D90" s="9" t="s">
        <v>88</v>
      </c>
      <c r="E90" s="11" t="str">
        <f>IF(tb_investimentos[[#This Row],[TIPO MOVIMENTAÇÃO]]="Aporte",_xlfn.XLOOKUP(tb_investimentos[[#This Row],[DESCRIÇÃO]],'INFO AÇÕES'!E:E,'INFO AÇÕES'!I:I),"BRL")</f>
        <v>BRL</v>
      </c>
      <c r="F90" s="75" t="s">
        <v>91</v>
      </c>
      <c r="G90" s="11">
        <v>1</v>
      </c>
      <c r="H90" s="83">
        <v>990.9941</v>
      </c>
      <c r="I90" s="13" t="s">
        <v>107</v>
      </c>
      <c r="J90" s="51">
        <f t="shared" si="2"/>
        <v>990.9941</v>
      </c>
      <c r="K90" s="13" t="s">
        <v>105</v>
      </c>
      <c r="L90">
        <f>MONTH(tb_investimentos[[#This Row],[DATA]])</f>
        <v>2</v>
      </c>
      <c r="M90">
        <f>YEAR(tb_investimentos[[#This Row],[DATA]])</f>
        <v>2027</v>
      </c>
      <c r="N90">
        <f>DAY(tb_investimentos[[#This Row],[DATA]])</f>
        <v>15</v>
      </c>
      <c r="O90">
        <f t="shared" si="3"/>
        <v>1629.9930261538464</v>
      </c>
      <c r="P90">
        <f>tb_investimentos[[#This Row],[PREÇO MÉDIO PONDERADO]]*tb_investimentos[[#This Row],[QUANTIDADE]]</f>
        <v>1629.9930261538464</v>
      </c>
      <c r="Q90" s="58" t="str">
        <f ca="1">IFERROR(_xlfn.XLOOKUP(tb_investimentos[[#This Row],[DESCRIÇÃO]],tb_acoes[Símbolo do ticker],tb_acoes[Preço]),"")</f>
        <v/>
      </c>
      <c r="R90" s="58" t="str">
        <f ca="1">IFERROR(tb_investimentos[[#This Row],[QUANTIDADE]]*tb_investimentos[[#This Row],[PREÇO MERCADO]],"")</f>
        <v/>
      </c>
      <c r="S90" s="58" t="str">
        <f ca="1">IFERROR(tb_investimentos[[#This Row],[VALOR TOTAL MERCADO]]-tb_investimentos[[#This Row],[VALOR TOTAL PONDERADO]],"")</f>
        <v/>
      </c>
      <c r="T90" s="58" t="str">
        <f ca="1">IFERROR(_xlfn.XLOOKUP(tb_investimentos[[#This Row],[DESCRIÇÃO]],'INFO AÇÕES'!E:E,'INFO AÇÕES'!H:H),"")</f>
        <v/>
      </c>
      <c r="U90" s="59" t="str">
        <f ca="1">IFERROR((tb_investimentos[[#This Row],[VALOR TOTAL MERCADO]]-tb_investimentos[[#This Row],[VALOR TOTAL PONDERADO]])/tb_investimentos[[#This Row],[VALOR TOTAL PONDERADO]],"")</f>
        <v/>
      </c>
    </row>
    <row r="91" spans="2:21" hidden="1" x14ac:dyDescent="0.2">
      <c r="B91" s="13" t="s">
        <v>77</v>
      </c>
      <c r="C91" s="10">
        <v>46438</v>
      </c>
      <c r="D91" s="9" t="s">
        <v>94</v>
      </c>
      <c r="E91" s="11" t="str">
        <f>IF(tb_investimentos[[#This Row],[TIPO MOVIMENTAÇÃO]]="Aporte",_xlfn.XLOOKUP(tb_investimentos[[#This Row],[DESCRIÇÃO]],'INFO AÇÕES'!E:E,'INFO AÇÕES'!I:I),"BRL")</f>
        <v>BRL</v>
      </c>
      <c r="F91" s="75" t="s">
        <v>95</v>
      </c>
      <c r="G91" s="11">
        <v>1</v>
      </c>
      <c r="H91" s="12">
        <v>95</v>
      </c>
      <c r="I91" s="13" t="s">
        <v>107</v>
      </c>
      <c r="J91" s="51">
        <f t="shared" si="2"/>
        <v>95</v>
      </c>
      <c r="K91" s="13" t="s">
        <v>105</v>
      </c>
      <c r="L91">
        <f>MONTH(tb_investimentos[[#This Row],[DATA]])</f>
        <v>2</v>
      </c>
      <c r="M91">
        <f>YEAR(tb_investimentos[[#This Row],[DATA]])</f>
        <v>2027</v>
      </c>
      <c r="N91">
        <f>DAY(tb_investimentos[[#This Row],[DATA]])</f>
        <v>20</v>
      </c>
      <c r="O91">
        <f t="shared" si="3"/>
        <v>93.857142857142861</v>
      </c>
      <c r="P91">
        <f>tb_investimentos[[#This Row],[PREÇO MÉDIO PONDERADO]]*tb_investimentos[[#This Row],[QUANTIDADE]]</f>
        <v>93.857142857142861</v>
      </c>
      <c r="Q91" s="58" t="str">
        <f ca="1">IFERROR(_xlfn.XLOOKUP(tb_investimentos[[#This Row],[DESCRIÇÃO]],tb_acoes[Símbolo do ticker],tb_acoes[Preço]),"")</f>
        <v/>
      </c>
      <c r="R91" s="58" t="str">
        <f ca="1">IFERROR(tb_investimentos[[#This Row],[QUANTIDADE]]*tb_investimentos[[#This Row],[PREÇO MERCADO]],"")</f>
        <v/>
      </c>
      <c r="S91" s="58" t="str">
        <f ca="1">IFERROR(tb_investimentos[[#This Row],[VALOR TOTAL MERCADO]]-tb_investimentos[[#This Row],[VALOR TOTAL PONDERADO]],"")</f>
        <v/>
      </c>
      <c r="T91" s="58" t="str">
        <f ca="1">IFERROR(_xlfn.XLOOKUP(tb_investimentos[[#This Row],[DESCRIÇÃO]],'INFO AÇÕES'!E:E,'INFO AÇÕES'!H:H),"")</f>
        <v/>
      </c>
      <c r="U91" s="59" t="str">
        <f ca="1">IFERROR((tb_investimentos[[#This Row],[VALOR TOTAL MERCADO]]-tb_investimentos[[#This Row],[VALOR TOTAL PONDERADO]])/tb_investimentos[[#This Row],[VALOR TOTAL PONDERADO]],"")</f>
        <v/>
      </c>
    </row>
    <row r="92" spans="2:21" hidden="1" x14ac:dyDescent="0.2">
      <c r="B92" s="13" t="s">
        <v>77</v>
      </c>
      <c r="C92" s="10">
        <v>46442</v>
      </c>
      <c r="D92" s="9" t="s">
        <v>84</v>
      </c>
      <c r="E92" s="11" t="str">
        <f>IF(tb_investimentos[[#This Row],[TIPO MOVIMENTAÇÃO]]="Aporte",_xlfn.XLOOKUP(tb_investimentos[[#This Row],[DESCRIÇÃO]],'INFO AÇÕES'!E:E,'INFO AÇÕES'!I:I),"BRL")</f>
        <v>BRL</v>
      </c>
      <c r="F92" s="75" t="s">
        <v>83</v>
      </c>
      <c r="G92" s="11">
        <v>1</v>
      </c>
      <c r="H92" s="12">
        <v>650</v>
      </c>
      <c r="I92" s="13" t="s">
        <v>107</v>
      </c>
      <c r="J92" s="51">
        <f t="shared" si="2"/>
        <v>650</v>
      </c>
      <c r="K92" s="13" t="s">
        <v>105</v>
      </c>
      <c r="L92">
        <f>MONTH(tb_investimentos[[#This Row],[DATA]])</f>
        <v>2</v>
      </c>
      <c r="M92">
        <f>YEAR(tb_investimentos[[#This Row],[DATA]])</f>
        <v>2027</v>
      </c>
      <c r="N92">
        <f>DAY(tb_investimentos[[#This Row],[DATA]])</f>
        <v>24</v>
      </c>
      <c r="O92">
        <f t="shared" si="3"/>
        <v>650</v>
      </c>
      <c r="P92">
        <f>tb_investimentos[[#This Row],[PREÇO MÉDIO PONDERADO]]*tb_investimentos[[#This Row],[QUANTIDADE]]</f>
        <v>650</v>
      </c>
      <c r="Q92" s="58" t="str">
        <f ca="1">IFERROR(_xlfn.XLOOKUP(tb_investimentos[[#This Row],[DESCRIÇÃO]],tb_acoes[Símbolo do ticker],tb_acoes[Preço]),"")</f>
        <v/>
      </c>
      <c r="R92" s="58" t="str">
        <f ca="1">IFERROR(tb_investimentos[[#This Row],[QUANTIDADE]]*tb_investimentos[[#This Row],[PREÇO MERCADO]],"")</f>
        <v/>
      </c>
      <c r="S92" s="58" t="str">
        <f ca="1">IFERROR(tb_investimentos[[#This Row],[VALOR TOTAL MERCADO]]-tb_investimentos[[#This Row],[VALOR TOTAL PONDERADO]],"")</f>
        <v/>
      </c>
      <c r="T92" s="58" t="str">
        <f ca="1">IFERROR(_xlfn.XLOOKUP(tb_investimentos[[#This Row],[DESCRIÇÃO]],'INFO AÇÕES'!E:E,'INFO AÇÕES'!H:H),"")</f>
        <v/>
      </c>
      <c r="U92" s="59" t="str">
        <f ca="1">IFERROR((tb_investimentos[[#This Row],[VALOR TOTAL MERCADO]]-tb_investimentos[[#This Row],[VALOR TOTAL PONDERADO]])/tb_investimentos[[#This Row],[VALOR TOTAL PONDERADO]],"")</f>
        <v/>
      </c>
    </row>
    <row r="93" spans="2:21" hidden="1" x14ac:dyDescent="0.2">
      <c r="B93" s="13" t="s">
        <v>77</v>
      </c>
      <c r="C93" s="10">
        <v>46446</v>
      </c>
      <c r="D93" s="9" t="s">
        <v>82</v>
      </c>
      <c r="E93" s="11" t="str">
        <f>IF(tb_investimentos[[#This Row],[TIPO MOVIMENTAÇÃO]]="Aporte",_xlfn.XLOOKUP(tb_investimentos[[#This Row],[DESCRIÇÃO]],'INFO AÇÕES'!E:E,'INFO AÇÕES'!I:I),"BRL")</f>
        <v>BRL</v>
      </c>
      <c r="F93" s="75" t="s">
        <v>81</v>
      </c>
      <c r="G93" s="11">
        <v>1</v>
      </c>
      <c r="H93" s="12">
        <v>650</v>
      </c>
      <c r="I93" s="13" t="s">
        <v>107</v>
      </c>
      <c r="J93" s="51">
        <f t="shared" si="2"/>
        <v>650</v>
      </c>
      <c r="K93" s="13" t="s">
        <v>105</v>
      </c>
      <c r="L93">
        <f>MONTH(tb_investimentos[[#This Row],[DATA]])</f>
        <v>2</v>
      </c>
      <c r="M93">
        <f>YEAR(tb_investimentos[[#This Row],[DATA]])</f>
        <v>2027</v>
      </c>
      <c r="N93">
        <f>DAY(tb_investimentos[[#This Row],[DATA]])</f>
        <v>28</v>
      </c>
      <c r="O93">
        <f t="shared" si="3"/>
        <v>650</v>
      </c>
      <c r="P93">
        <f>tb_investimentos[[#This Row],[PREÇO MÉDIO PONDERADO]]*tb_investimentos[[#This Row],[QUANTIDADE]]</f>
        <v>650</v>
      </c>
      <c r="Q93" s="58" t="str">
        <f ca="1">IFERROR(_xlfn.XLOOKUP(tb_investimentos[[#This Row],[DESCRIÇÃO]],tb_acoes[Símbolo do ticker],tb_acoes[Preço]),"")</f>
        <v/>
      </c>
      <c r="R93" s="58" t="str">
        <f ca="1">IFERROR(tb_investimentos[[#This Row],[QUANTIDADE]]*tb_investimentos[[#This Row],[PREÇO MERCADO]],"")</f>
        <v/>
      </c>
      <c r="S93" s="58" t="str">
        <f ca="1">IFERROR(tb_investimentos[[#This Row],[VALOR TOTAL MERCADO]]-tb_investimentos[[#This Row],[VALOR TOTAL PONDERADO]],"")</f>
        <v/>
      </c>
      <c r="T93" s="58" t="str">
        <f ca="1">IFERROR(_xlfn.XLOOKUP(tb_investimentos[[#This Row],[DESCRIÇÃO]],'INFO AÇÕES'!E:E,'INFO AÇÕES'!H:H),"")</f>
        <v/>
      </c>
      <c r="U93" s="59" t="str">
        <f ca="1">IFERROR((tb_investimentos[[#This Row],[VALOR TOTAL MERCADO]]-tb_investimentos[[#This Row],[VALOR TOTAL PONDERADO]])/tb_investimentos[[#This Row],[VALOR TOTAL PONDERADO]],"")</f>
        <v/>
      </c>
    </row>
    <row r="94" spans="2:21" hidden="1" x14ac:dyDescent="0.2">
      <c r="B94" s="13" t="s">
        <v>72</v>
      </c>
      <c r="C94" s="72">
        <v>46451</v>
      </c>
      <c r="D94" s="9" t="s">
        <v>76</v>
      </c>
      <c r="E94" s="11" t="str">
        <f>IF(tb_investimentos[[#This Row],[TIPO MOVIMENTAÇÃO]]="Aporte",_xlfn.XLOOKUP(tb_investimentos[[#This Row],[DESCRIÇÃO]],'INFO AÇÕES'!E:E,'INFO AÇÕES'!I:I),"BRL")</f>
        <v>BRL</v>
      </c>
      <c r="F94" s="75" t="s">
        <v>73</v>
      </c>
      <c r="G94" s="11">
        <v>1</v>
      </c>
      <c r="H94" s="12">
        <v>8000</v>
      </c>
      <c r="I94" s="13" t="s">
        <v>107</v>
      </c>
      <c r="J94" s="51">
        <f t="shared" si="2"/>
        <v>8000</v>
      </c>
      <c r="K94" s="13" t="s">
        <v>105</v>
      </c>
      <c r="L94">
        <f>MONTH(tb_investimentos[[#This Row],[DATA]])</f>
        <v>3</v>
      </c>
      <c r="M94">
        <f>YEAR(tb_investimentos[[#This Row],[DATA]])</f>
        <v>2027</v>
      </c>
      <c r="N94">
        <f>DAY(tb_investimentos[[#This Row],[DATA]])</f>
        <v>5</v>
      </c>
      <c r="O94">
        <f t="shared" si="3"/>
        <v>7801.7948717948721</v>
      </c>
      <c r="P94">
        <f>tb_investimentos[[#This Row],[PREÇO MÉDIO PONDERADO]]*tb_investimentos[[#This Row],[QUANTIDADE]]</f>
        <v>7801.7948717948721</v>
      </c>
      <c r="Q94" s="58" t="str">
        <f ca="1">IFERROR(_xlfn.XLOOKUP(tb_investimentos[[#This Row],[DESCRIÇÃO]],tb_acoes[Símbolo do ticker],tb_acoes[Preço]),"")</f>
        <v/>
      </c>
      <c r="R94" s="58" t="str">
        <f ca="1">IFERROR(tb_investimentos[[#This Row],[QUANTIDADE]]*tb_investimentos[[#This Row],[PREÇO MERCADO]],"")</f>
        <v/>
      </c>
      <c r="S94" s="58" t="str">
        <f ca="1">IFERROR(tb_investimentos[[#This Row],[VALOR TOTAL MERCADO]]-tb_investimentos[[#This Row],[VALOR TOTAL PONDERADO]],"")</f>
        <v/>
      </c>
      <c r="T94" s="58" t="str">
        <f ca="1">IFERROR(_xlfn.XLOOKUP(tb_investimentos[[#This Row],[DESCRIÇÃO]],'INFO AÇÕES'!E:E,'INFO AÇÕES'!H:H),"")</f>
        <v/>
      </c>
      <c r="U94" s="59" t="str">
        <f ca="1">IFERROR((tb_investimentos[[#This Row],[VALOR TOTAL MERCADO]]-tb_investimentos[[#This Row],[VALOR TOTAL PONDERADO]])/tb_investimentos[[#This Row],[VALOR TOTAL PONDERADO]],"")</f>
        <v/>
      </c>
    </row>
    <row r="95" spans="2:21" hidden="1" x14ac:dyDescent="0.2">
      <c r="B95" s="13" t="s">
        <v>72</v>
      </c>
      <c r="C95" s="10">
        <v>46451</v>
      </c>
      <c r="D95" s="9" t="s">
        <v>75</v>
      </c>
      <c r="E95" s="11" t="str">
        <f>IF(tb_investimentos[[#This Row],[TIPO MOVIMENTAÇÃO]]="Aporte",_xlfn.XLOOKUP(tb_investimentos[[#This Row],[DESCRIÇÃO]],'INFO AÇÕES'!E:E,'INFO AÇÕES'!I:I),"BRL")</f>
        <v>BRL</v>
      </c>
      <c r="F95" s="75" t="s">
        <v>74</v>
      </c>
      <c r="G95" s="11">
        <v>1</v>
      </c>
      <c r="H95" s="12">
        <v>700</v>
      </c>
      <c r="I95" s="13" t="s">
        <v>107</v>
      </c>
      <c r="J95" s="51">
        <f t="shared" si="2"/>
        <v>700</v>
      </c>
      <c r="K95" s="13" t="s">
        <v>105</v>
      </c>
      <c r="L95">
        <f>MONTH(tb_investimentos[[#This Row],[DATA]])</f>
        <v>3</v>
      </c>
      <c r="M95">
        <f>YEAR(tb_investimentos[[#This Row],[DATA]])</f>
        <v>2027</v>
      </c>
      <c r="N95">
        <f>DAY(tb_investimentos[[#This Row],[DATA]])</f>
        <v>5</v>
      </c>
      <c r="O95">
        <f t="shared" si="3"/>
        <v>770</v>
      </c>
      <c r="P95">
        <f>tb_investimentos[[#This Row],[PREÇO MÉDIO PONDERADO]]*tb_investimentos[[#This Row],[QUANTIDADE]]</f>
        <v>770</v>
      </c>
      <c r="Q95" s="58" t="str">
        <f ca="1">IFERROR(_xlfn.XLOOKUP(tb_investimentos[[#This Row],[DESCRIÇÃO]],tb_acoes[Símbolo do ticker],tb_acoes[Preço]),"")</f>
        <v/>
      </c>
      <c r="R95" s="58" t="str">
        <f ca="1">IFERROR(tb_investimentos[[#This Row],[QUANTIDADE]]*tb_investimentos[[#This Row],[PREÇO MERCADO]],"")</f>
        <v/>
      </c>
      <c r="S95" s="58" t="str">
        <f ca="1">IFERROR(tb_investimentos[[#This Row],[VALOR TOTAL MERCADO]]-tb_investimentos[[#This Row],[VALOR TOTAL PONDERADO]],"")</f>
        <v/>
      </c>
      <c r="T95" s="58" t="str">
        <f ca="1">IFERROR(_xlfn.XLOOKUP(tb_investimentos[[#This Row],[DESCRIÇÃO]],'INFO AÇÕES'!E:E,'INFO AÇÕES'!H:H),"")</f>
        <v/>
      </c>
      <c r="U95" s="59" t="str">
        <f ca="1">IFERROR((tb_investimentos[[#This Row],[VALOR TOTAL MERCADO]]-tb_investimentos[[#This Row],[VALOR TOTAL PONDERADO]])/tb_investimentos[[#This Row],[VALOR TOTAL PONDERADO]],"")</f>
        <v/>
      </c>
    </row>
    <row r="96" spans="2:21" hidden="1" x14ac:dyDescent="0.2">
      <c r="B96" s="13" t="s">
        <v>77</v>
      </c>
      <c r="C96" s="10">
        <v>46451</v>
      </c>
      <c r="D96" s="9" t="s">
        <v>92</v>
      </c>
      <c r="E96" s="11" t="str">
        <f>IF(tb_investimentos[[#This Row],[TIPO MOVIMENTAÇÃO]]="Aporte",_xlfn.XLOOKUP(tb_investimentos[[#This Row],[DESCRIÇÃO]],'INFO AÇÕES'!E:E,'INFO AÇÕES'!I:I),"BRL")</f>
        <v>BRL</v>
      </c>
      <c r="F96" s="75" t="s">
        <v>93</v>
      </c>
      <c r="G96" s="11">
        <v>1</v>
      </c>
      <c r="H96" s="12">
        <v>205</v>
      </c>
      <c r="I96" s="13" t="s">
        <v>107</v>
      </c>
      <c r="J96" s="51">
        <f t="shared" si="2"/>
        <v>205</v>
      </c>
      <c r="K96" s="13" t="s">
        <v>105</v>
      </c>
      <c r="L96">
        <f>MONTH(tb_investimentos[[#This Row],[DATA]])</f>
        <v>3</v>
      </c>
      <c r="M96">
        <f>YEAR(tb_investimentos[[#This Row],[DATA]])</f>
        <v>2027</v>
      </c>
      <c r="N96">
        <f>DAY(tb_investimentos[[#This Row],[DATA]])</f>
        <v>5</v>
      </c>
      <c r="O96">
        <f t="shared" si="3"/>
        <v>205</v>
      </c>
      <c r="P96">
        <f>tb_investimentos[[#This Row],[PREÇO MÉDIO PONDERADO]]*tb_investimentos[[#This Row],[QUANTIDADE]]</f>
        <v>205</v>
      </c>
      <c r="Q96" s="58" t="str">
        <f ca="1">IFERROR(_xlfn.XLOOKUP(tb_investimentos[[#This Row],[DESCRIÇÃO]],tb_acoes[Símbolo do ticker],tb_acoes[Preço]),"")</f>
        <v/>
      </c>
      <c r="R96" s="58" t="str">
        <f ca="1">IFERROR(tb_investimentos[[#This Row],[QUANTIDADE]]*tb_investimentos[[#This Row],[PREÇO MERCADO]],"")</f>
        <v/>
      </c>
      <c r="S96" s="58" t="str">
        <f ca="1">IFERROR(tb_investimentos[[#This Row],[VALOR TOTAL MERCADO]]-tb_investimentos[[#This Row],[VALOR TOTAL PONDERADO]],"")</f>
        <v/>
      </c>
      <c r="T96" s="58" t="str">
        <f ca="1">IFERROR(_xlfn.XLOOKUP(tb_investimentos[[#This Row],[DESCRIÇÃO]],'INFO AÇÕES'!E:E,'INFO AÇÕES'!H:H),"")</f>
        <v/>
      </c>
      <c r="U96" s="59" t="str">
        <f ca="1">IFERROR((tb_investimentos[[#This Row],[VALOR TOTAL MERCADO]]-tb_investimentos[[#This Row],[VALOR TOTAL PONDERADO]])/tb_investimentos[[#This Row],[VALOR TOTAL PONDERADO]],"")</f>
        <v/>
      </c>
    </row>
    <row r="97" spans="2:21" hidden="1" x14ac:dyDescent="0.2">
      <c r="B97" s="13" t="s">
        <v>77</v>
      </c>
      <c r="C97" s="10">
        <v>46451</v>
      </c>
      <c r="D97" s="9" t="s">
        <v>107</v>
      </c>
      <c r="E97" s="11" t="str">
        <f>IF(tb_investimentos[[#This Row],[TIPO MOVIMENTAÇÃO]]="Aporte",_xlfn.XLOOKUP(tb_investimentos[[#This Row],[DESCRIÇÃO]],'INFO AÇÕES'!E:E,'INFO AÇÕES'!I:I),"BRL")</f>
        <v>BRL</v>
      </c>
      <c r="F97" s="75" t="s">
        <v>106</v>
      </c>
      <c r="G97" s="11">
        <v>1</v>
      </c>
      <c r="H97" s="12">
        <v>500</v>
      </c>
      <c r="I97" s="13" t="s">
        <v>107</v>
      </c>
      <c r="J97" s="51">
        <f t="shared" si="2"/>
        <v>500</v>
      </c>
      <c r="K97" s="13" t="s">
        <v>105</v>
      </c>
      <c r="L97">
        <f>MONTH(tb_investimentos[[#This Row],[DATA]])</f>
        <v>3</v>
      </c>
      <c r="M97">
        <f>YEAR(tb_investimentos[[#This Row],[DATA]])</f>
        <v>2027</v>
      </c>
      <c r="N97">
        <f>DAY(tb_investimentos[[#This Row],[DATA]])</f>
        <v>5</v>
      </c>
      <c r="O97">
        <f t="shared" si="3"/>
        <v>515.93333333333328</v>
      </c>
      <c r="P97">
        <f>tb_investimentos[[#This Row],[PREÇO MÉDIO PONDERADO]]*tb_investimentos[[#This Row],[QUANTIDADE]]</f>
        <v>515.93333333333328</v>
      </c>
      <c r="Q97" s="58" t="str">
        <f ca="1">IFERROR(_xlfn.XLOOKUP(tb_investimentos[[#This Row],[DESCRIÇÃO]],tb_acoes[Símbolo do ticker],tb_acoes[Preço]),"")</f>
        <v/>
      </c>
      <c r="R97" s="58" t="str">
        <f ca="1">IFERROR(tb_investimentos[[#This Row],[QUANTIDADE]]*tb_investimentos[[#This Row],[PREÇO MERCADO]],"")</f>
        <v/>
      </c>
      <c r="S97" s="58" t="str">
        <f ca="1">IFERROR(tb_investimentos[[#This Row],[VALOR TOTAL MERCADO]]-tb_investimentos[[#This Row],[VALOR TOTAL PONDERADO]],"")</f>
        <v/>
      </c>
      <c r="T97" s="58" t="str">
        <f ca="1">IFERROR(_xlfn.XLOOKUP(tb_investimentos[[#This Row],[DESCRIÇÃO]],'INFO AÇÕES'!E:E,'INFO AÇÕES'!H:H),"")</f>
        <v/>
      </c>
      <c r="U97" s="59" t="str">
        <f ca="1">IFERROR((tb_investimentos[[#This Row],[VALOR TOTAL MERCADO]]-tb_investimentos[[#This Row],[VALOR TOTAL PONDERADO]])/tb_investimentos[[#This Row],[VALOR TOTAL PONDERADO]],"")</f>
        <v/>
      </c>
    </row>
    <row r="98" spans="2:21" hidden="1" x14ac:dyDescent="0.2">
      <c r="B98" s="13" t="s">
        <v>39</v>
      </c>
      <c r="C98" s="10">
        <v>46451</v>
      </c>
      <c r="D98" s="9"/>
      <c r="E98" s="11">
        <f ca="1">IF(tb_investimentos[[#This Row],[TIPO MOVIMENTAÇÃO]]="Aporte",_xlfn.XLOOKUP(tb_investimentos[[#This Row],[DESCRIÇÃO]],'INFO AÇÕES'!E:E,'INFO AÇÕES'!I:I),"BRL")</f>
        <v>0</v>
      </c>
      <c r="F98" s="73" t="s">
        <v>10</v>
      </c>
      <c r="G98" s="11">
        <v>1</v>
      </c>
      <c r="H98" s="12">
        <v>2500</v>
      </c>
      <c r="I98" s="13" t="s">
        <v>58</v>
      </c>
      <c r="J98" s="51">
        <f t="shared" si="2"/>
        <v>2500</v>
      </c>
      <c r="K98" s="11" t="s">
        <v>105</v>
      </c>
      <c r="L98">
        <f>MONTH(tb_investimentos[[#This Row],[DATA]])</f>
        <v>3</v>
      </c>
      <c r="M98">
        <f>YEAR(tb_investimentos[[#This Row],[DATA]])</f>
        <v>2027</v>
      </c>
      <c r="N98">
        <f>DAY(tb_investimentos[[#This Row],[DATA]])</f>
        <v>5</v>
      </c>
      <c r="O98" t="e">
        <f t="shared" si="3"/>
        <v>#DIV/0!</v>
      </c>
      <c r="P98" t="e">
        <f>tb_investimentos[[#This Row],[PREÇO MÉDIO PONDERADO]]*tb_investimentos[[#This Row],[QUANTIDADE]]</f>
        <v>#DIV/0!</v>
      </c>
      <c r="Q98" s="58" t="str">
        <f ca="1">IFERROR(_xlfn.XLOOKUP(tb_investimentos[[#This Row],[DESCRIÇÃO]],tb_acoes[Símbolo do ticker],tb_acoes[Preço]),"")</f>
        <v/>
      </c>
      <c r="R98" s="58" t="str">
        <f ca="1">IFERROR(tb_investimentos[[#This Row],[QUANTIDADE]]*tb_investimentos[[#This Row],[PREÇO MERCADO]],"")</f>
        <v/>
      </c>
      <c r="S98" s="58" t="str">
        <f ca="1">IFERROR(tb_investimentos[[#This Row],[VALOR TOTAL MERCADO]]-tb_investimentos[[#This Row],[VALOR TOTAL PONDERADO]],"")</f>
        <v/>
      </c>
      <c r="T98" s="58" t="str">
        <f ca="1">IFERROR(_xlfn.XLOOKUP(tb_investimentos[[#This Row],[DESCRIÇÃO]],'INFO AÇÕES'!E:E,'INFO AÇÕES'!H:H),"")</f>
        <v/>
      </c>
      <c r="U98" s="59" t="str">
        <f ca="1">IFERROR((tb_investimentos[[#This Row],[VALOR TOTAL MERCADO]]-tb_investimentos[[#This Row],[VALOR TOTAL PONDERADO]])/tb_investimentos[[#This Row],[VALOR TOTAL PONDERADO]],"")</f>
        <v/>
      </c>
    </row>
    <row r="99" spans="2:21" hidden="1" x14ac:dyDescent="0.2">
      <c r="B99" s="13" t="s">
        <v>77</v>
      </c>
      <c r="C99" s="10">
        <v>46454</v>
      </c>
      <c r="D99" s="9" t="s">
        <v>80</v>
      </c>
      <c r="E99" s="11" t="str">
        <f>IF(tb_investimentos[[#This Row],[TIPO MOVIMENTAÇÃO]]="Aporte",_xlfn.XLOOKUP(tb_investimentos[[#This Row],[DESCRIÇÃO]],'INFO AÇÕES'!E:E,'INFO AÇÕES'!I:I),"BRL")</f>
        <v>BRL</v>
      </c>
      <c r="F99" s="75" t="s">
        <v>99</v>
      </c>
      <c r="G99" s="11">
        <v>1</v>
      </c>
      <c r="H99" s="12">
        <v>25</v>
      </c>
      <c r="I99" s="13" t="s">
        <v>107</v>
      </c>
      <c r="J99" s="51">
        <f t="shared" si="2"/>
        <v>25</v>
      </c>
      <c r="K99" s="13" t="s">
        <v>105</v>
      </c>
      <c r="L99">
        <f>MONTH(tb_investimentos[[#This Row],[DATA]])</f>
        <v>3</v>
      </c>
      <c r="M99">
        <f>YEAR(tb_investimentos[[#This Row],[DATA]])</f>
        <v>2027</v>
      </c>
      <c r="N99">
        <f>DAY(tb_investimentos[[#This Row],[DATA]])</f>
        <v>8</v>
      </c>
      <c r="O99">
        <f t="shared" si="3"/>
        <v>25</v>
      </c>
      <c r="P99">
        <f>tb_investimentos[[#This Row],[PREÇO MÉDIO PONDERADO]]*tb_investimentos[[#This Row],[QUANTIDADE]]</f>
        <v>25</v>
      </c>
      <c r="Q99" s="58" t="str">
        <f ca="1">IFERROR(_xlfn.XLOOKUP(tb_investimentos[[#This Row],[DESCRIÇÃO]],tb_acoes[Símbolo do ticker],tb_acoes[Preço]),"")</f>
        <v/>
      </c>
      <c r="R99" s="58" t="str">
        <f ca="1">IFERROR(tb_investimentos[[#This Row],[QUANTIDADE]]*tb_investimentos[[#This Row],[PREÇO MERCADO]],"")</f>
        <v/>
      </c>
      <c r="S99" s="58" t="str">
        <f ca="1">IFERROR(tb_investimentos[[#This Row],[VALOR TOTAL MERCADO]]-tb_investimentos[[#This Row],[VALOR TOTAL PONDERADO]],"")</f>
        <v/>
      </c>
      <c r="T99" s="58" t="str">
        <f ca="1">IFERROR(_xlfn.XLOOKUP(tb_investimentos[[#This Row],[DESCRIÇÃO]],'INFO AÇÕES'!E:E,'INFO AÇÕES'!H:H),"")</f>
        <v/>
      </c>
      <c r="U99" s="59" t="str">
        <f ca="1">IFERROR((tb_investimentos[[#This Row],[VALOR TOTAL MERCADO]]-tb_investimentos[[#This Row],[VALOR TOTAL PONDERADO]])/tb_investimentos[[#This Row],[VALOR TOTAL PONDERADO]],"")</f>
        <v/>
      </c>
    </row>
    <row r="100" spans="2:21" hidden="1" x14ac:dyDescent="0.2">
      <c r="B100" s="13" t="s">
        <v>77</v>
      </c>
      <c r="C100" s="10">
        <v>46456</v>
      </c>
      <c r="D100" s="9" t="s">
        <v>85</v>
      </c>
      <c r="E100" s="11" t="str">
        <f>IF(tb_investimentos[[#This Row],[TIPO MOVIMENTAÇÃO]]="Aporte",_xlfn.XLOOKUP(tb_investimentos[[#This Row],[DESCRIÇÃO]],'INFO AÇÕES'!E:E,'INFO AÇÕES'!I:I),"BRL")</f>
        <v>BRL</v>
      </c>
      <c r="F100" s="75" t="s">
        <v>104</v>
      </c>
      <c r="G100" s="11">
        <v>1</v>
      </c>
      <c r="H100" s="12">
        <v>95</v>
      </c>
      <c r="I100" s="13" t="s">
        <v>107</v>
      </c>
      <c r="J100" s="51">
        <f t="shared" si="2"/>
        <v>95</v>
      </c>
      <c r="K100" s="13" t="s">
        <v>105</v>
      </c>
      <c r="L100">
        <f>MONTH(tb_investimentos[[#This Row],[DATA]])</f>
        <v>3</v>
      </c>
      <c r="M100">
        <f>YEAR(tb_investimentos[[#This Row],[DATA]])</f>
        <v>2027</v>
      </c>
      <c r="N100">
        <f>DAY(tb_investimentos[[#This Row],[DATA]])</f>
        <v>10</v>
      </c>
      <c r="O100">
        <f t="shared" si="3"/>
        <v>95</v>
      </c>
      <c r="P100">
        <f>tb_investimentos[[#This Row],[PREÇO MÉDIO PONDERADO]]*tb_investimentos[[#This Row],[QUANTIDADE]]</f>
        <v>95</v>
      </c>
      <c r="Q100" s="58" t="str">
        <f ca="1">IFERROR(_xlfn.XLOOKUP(tb_investimentos[[#This Row],[DESCRIÇÃO]],tb_acoes[Símbolo do ticker],tb_acoes[Preço]),"")</f>
        <v/>
      </c>
      <c r="R100" s="58" t="str">
        <f ca="1">IFERROR(tb_investimentos[[#This Row],[QUANTIDADE]]*tb_investimentos[[#This Row],[PREÇO MERCADO]],"")</f>
        <v/>
      </c>
      <c r="S100" s="58" t="str">
        <f ca="1">IFERROR(tb_investimentos[[#This Row],[VALOR TOTAL MERCADO]]-tb_investimentos[[#This Row],[VALOR TOTAL PONDERADO]],"")</f>
        <v/>
      </c>
      <c r="T100" s="58" t="str">
        <f ca="1">IFERROR(_xlfn.XLOOKUP(tb_investimentos[[#This Row],[DESCRIÇÃO]],'INFO AÇÕES'!E:E,'INFO AÇÕES'!H:H),"")</f>
        <v/>
      </c>
      <c r="U100" s="59" t="str">
        <f ca="1">IFERROR((tb_investimentos[[#This Row],[VALOR TOTAL MERCADO]]-tb_investimentos[[#This Row],[VALOR TOTAL PONDERADO]])/tb_investimentos[[#This Row],[VALOR TOTAL PONDERADO]],"")</f>
        <v/>
      </c>
    </row>
    <row r="101" spans="2:21" hidden="1" x14ac:dyDescent="0.2">
      <c r="B101" s="13" t="s">
        <v>77</v>
      </c>
      <c r="C101" s="10">
        <v>46458</v>
      </c>
      <c r="D101" s="9" t="s">
        <v>89</v>
      </c>
      <c r="E101" s="11" t="str">
        <f>IF(tb_investimentos[[#This Row],[TIPO MOVIMENTAÇÃO]]="Aporte",_xlfn.XLOOKUP(tb_investimentos[[#This Row],[DESCRIÇÃO]],'INFO AÇÕES'!E:E,'INFO AÇÕES'!I:I),"BRL")</f>
        <v>BRL</v>
      </c>
      <c r="F101" s="75" t="s">
        <v>90</v>
      </c>
      <c r="G101" s="11">
        <v>1</v>
      </c>
      <c r="H101" s="12">
        <v>16.899999999999999</v>
      </c>
      <c r="I101" s="13" t="s">
        <v>107</v>
      </c>
      <c r="J101" s="51">
        <f t="shared" si="2"/>
        <v>16.899999999999999</v>
      </c>
      <c r="K101" s="13" t="s">
        <v>105</v>
      </c>
      <c r="L101">
        <f>MONTH(tb_investimentos[[#This Row],[DATA]])</f>
        <v>3</v>
      </c>
      <c r="M101">
        <f>YEAR(tb_investimentos[[#This Row],[DATA]])</f>
        <v>2027</v>
      </c>
      <c r="N101">
        <f>DAY(tb_investimentos[[#This Row],[DATA]])</f>
        <v>12</v>
      </c>
      <c r="O101">
        <f t="shared" si="3"/>
        <v>137.33453714285722</v>
      </c>
      <c r="P101">
        <f>tb_investimentos[[#This Row],[PREÇO MÉDIO PONDERADO]]*tb_investimentos[[#This Row],[QUANTIDADE]]</f>
        <v>137.33453714285722</v>
      </c>
      <c r="Q101" s="58" t="str">
        <f ca="1">IFERROR(_xlfn.XLOOKUP(tb_investimentos[[#This Row],[DESCRIÇÃO]],tb_acoes[Símbolo do ticker],tb_acoes[Preço]),"")</f>
        <v/>
      </c>
      <c r="R101" s="58" t="str">
        <f ca="1">IFERROR(tb_investimentos[[#This Row],[QUANTIDADE]]*tb_investimentos[[#This Row],[PREÇO MERCADO]],"")</f>
        <v/>
      </c>
      <c r="S101" s="58" t="str">
        <f ca="1">IFERROR(tb_investimentos[[#This Row],[VALOR TOTAL MERCADO]]-tb_investimentos[[#This Row],[VALOR TOTAL PONDERADO]],"")</f>
        <v/>
      </c>
      <c r="T101" s="58" t="str">
        <f ca="1">IFERROR(_xlfn.XLOOKUP(tb_investimentos[[#This Row],[DESCRIÇÃO]],'INFO AÇÕES'!E:E,'INFO AÇÕES'!H:H),"")</f>
        <v/>
      </c>
      <c r="U101" s="59" t="str">
        <f ca="1">IFERROR((tb_investimentos[[#This Row],[VALOR TOTAL MERCADO]]-tb_investimentos[[#This Row],[VALOR TOTAL PONDERADO]])/tb_investimentos[[#This Row],[VALOR TOTAL PONDERADO]],"")</f>
        <v/>
      </c>
    </row>
    <row r="102" spans="2:21" hidden="1" x14ac:dyDescent="0.2">
      <c r="B102" s="13" t="s">
        <v>77</v>
      </c>
      <c r="C102" s="72">
        <v>46461</v>
      </c>
      <c r="D102" s="9" t="s">
        <v>78</v>
      </c>
      <c r="E102" s="11" t="str">
        <f>IF(tb_investimentos[[#This Row],[TIPO MOVIMENTAÇÃO]]="Aporte",_xlfn.XLOOKUP(tb_investimentos[[#This Row],[DESCRIÇÃO]],'INFO AÇÕES'!E:E,'INFO AÇÕES'!I:I),"BRL")</f>
        <v>BRL</v>
      </c>
      <c r="F102" s="75" t="s">
        <v>102</v>
      </c>
      <c r="G102" s="11">
        <v>1</v>
      </c>
      <c r="H102" s="12">
        <v>39.9</v>
      </c>
      <c r="I102" s="13" t="s">
        <v>107</v>
      </c>
      <c r="J102" s="51">
        <f t="shared" si="2"/>
        <v>39.9</v>
      </c>
      <c r="K102" s="13" t="s">
        <v>105</v>
      </c>
      <c r="L102">
        <f>MONTH(tb_investimentos[[#This Row],[DATA]])</f>
        <v>3</v>
      </c>
      <c r="M102">
        <f>YEAR(tb_investimentos[[#This Row],[DATA]])</f>
        <v>2027</v>
      </c>
      <c r="N102">
        <f>DAY(tb_investimentos[[#This Row],[DATA]])</f>
        <v>15</v>
      </c>
      <c r="O102">
        <f t="shared" si="3"/>
        <v>59.90000000000002</v>
      </c>
      <c r="P102">
        <f>tb_investimentos[[#This Row],[PREÇO MÉDIO PONDERADO]]*tb_investimentos[[#This Row],[QUANTIDADE]]</f>
        <v>59.90000000000002</v>
      </c>
      <c r="Q102" s="58" t="str">
        <f ca="1">IFERROR(_xlfn.XLOOKUP(tb_investimentos[[#This Row],[DESCRIÇÃO]],tb_acoes[Símbolo do ticker],tb_acoes[Preço]),"")</f>
        <v/>
      </c>
      <c r="R102" s="58" t="str">
        <f ca="1">IFERROR(tb_investimentos[[#This Row],[QUANTIDADE]]*tb_investimentos[[#This Row],[PREÇO MERCADO]],"")</f>
        <v/>
      </c>
      <c r="S102" s="58" t="str">
        <f ca="1">IFERROR(tb_investimentos[[#This Row],[VALOR TOTAL MERCADO]]-tb_investimentos[[#This Row],[VALOR TOTAL PONDERADO]],"")</f>
        <v/>
      </c>
      <c r="T102" s="58" t="str">
        <f ca="1">IFERROR(_xlfn.XLOOKUP(tb_investimentos[[#This Row],[DESCRIÇÃO]],'INFO AÇÕES'!E:E,'INFO AÇÕES'!H:H),"")</f>
        <v/>
      </c>
      <c r="U102" s="59" t="str">
        <f ca="1">IFERROR((tb_investimentos[[#This Row],[VALOR TOTAL MERCADO]]-tb_investimentos[[#This Row],[VALOR TOTAL PONDERADO]])/tb_investimentos[[#This Row],[VALOR TOTAL PONDERADO]],"")</f>
        <v/>
      </c>
    </row>
    <row r="103" spans="2:21" hidden="1" x14ac:dyDescent="0.2">
      <c r="B103" s="13" t="s">
        <v>77</v>
      </c>
      <c r="C103" s="72">
        <v>46461</v>
      </c>
      <c r="D103" s="9" t="s">
        <v>78</v>
      </c>
      <c r="E103" s="11" t="str">
        <f>IF(tb_investimentos[[#This Row],[TIPO MOVIMENTAÇÃO]]="Aporte",_xlfn.XLOOKUP(tb_investimentos[[#This Row],[DESCRIÇÃO]],'INFO AÇÕES'!E:E,'INFO AÇÕES'!I:I),"BRL")</f>
        <v>BRL</v>
      </c>
      <c r="F103" s="75" t="s">
        <v>101</v>
      </c>
      <c r="G103" s="11">
        <v>1</v>
      </c>
      <c r="H103" s="12">
        <v>79.900000000000006</v>
      </c>
      <c r="I103" s="13" t="s">
        <v>107</v>
      </c>
      <c r="J103" s="51">
        <f t="shared" si="2"/>
        <v>79.900000000000006</v>
      </c>
      <c r="K103" s="13" t="s">
        <v>105</v>
      </c>
      <c r="L103">
        <f>MONTH(tb_investimentos[[#This Row],[DATA]])</f>
        <v>3</v>
      </c>
      <c r="M103">
        <f>YEAR(tb_investimentos[[#This Row],[DATA]])</f>
        <v>2027</v>
      </c>
      <c r="N103">
        <f>DAY(tb_investimentos[[#This Row],[DATA]])</f>
        <v>15</v>
      </c>
      <c r="O103">
        <f t="shared" si="3"/>
        <v>59.90000000000002</v>
      </c>
      <c r="P103">
        <f>tb_investimentos[[#This Row],[PREÇO MÉDIO PONDERADO]]*tb_investimentos[[#This Row],[QUANTIDADE]]</f>
        <v>59.90000000000002</v>
      </c>
      <c r="Q103" s="58" t="str">
        <f ca="1">IFERROR(_xlfn.XLOOKUP(tb_investimentos[[#This Row],[DESCRIÇÃO]],tb_acoes[Símbolo do ticker],tb_acoes[Preço]),"")</f>
        <v/>
      </c>
      <c r="R103" s="58" t="str">
        <f ca="1">IFERROR(tb_investimentos[[#This Row],[QUANTIDADE]]*tb_investimentos[[#This Row],[PREÇO MERCADO]],"")</f>
        <v/>
      </c>
      <c r="S103" s="58" t="str">
        <f ca="1">IFERROR(tb_investimentos[[#This Row],[VALOR TOTAL MERCADO]]-tb_investimentos[[#This Row],[VALOR TOTAL PONDERADO]],"")</f>
        <v/>
      </c>
      <c r="T103" s="58" t="str">
        <f ca="1">IFERROR(_xlfn.XLOOKUP(tb_investimentos[[#This Row],[DESCRIÇÃO]],'INFO AÇÕES'!E:E,'INFO AÇÕES'!H:H),"")</f>
        <v/>
      </c>
      <c r="U103" s="59" t="str">
        <f ca="1">IFERROR((tb_investimentos[[#This Row],[VALOR TOTAL MERCADO]]-tb_investimentos[[#This Row],[VALOR TOTAL PONDERADO]])/tb_investimentos[[#This Row],[VALOR TOTAL PONDERADO]],"")</f>
        <v/>
      </c>
    </row>
    <row r="104" spans="2:21" hidden="1" x14ac:dyDescent="0.2">
      <c r="B104" s="13" t="s">
        <v>77</v>
      </c>
      <c r="C104" s="72">
        <v>46461</v>
      </c>
      <c r="D104" s="9" t="s">
        <v>79</v>
      </c>
      <c r="E104" s="11" t="str">
        <f>IF(tb_investimentos[[#This Row],[TIPO MOVIMENTAÇÃO]]="Aporte",_xlfn.XLOOKUP(tb_investimentos[[#This Row],[DESCRIÇÃO]],'INFO AÇÕES'!E:E,'INFO AÇÕES'!I:I),"BRL")</f>
        <v>BRL</v>
      </c>
      <c r="F104" s="75" t="s">
        <v>100</v>
      </c>
      <c r="G104" s="11">
        <v>1</v>
      </c>
      <c r="H104" s="12">
        <v>110</v>
      </c>
      <c r="I104" s="13" t="s">
        <v>107</v>
      </c>
      <c r="J104" s="51">
        <f t="shared" si="2"/>
        <v>110</v>
      </c>
      <c r="K104" s="13" t="s">
        <v>105</v>
      </c>
      <c r="L104">
        <f>MONTH(tb_investimentos[[#This Row],[DATA]])</f>
        <v>3</v>
      </c>
      <c r="M104">
        <f>YEAR(tb_investimentos[[#This Row],[DATA]])</f>
        <v>2027</v>
      </c>
      <c r="N104">
        <f>DAY(tb_investimentos[[#This Row],[DATA]])</f>
        <v>15</v>
      </c>
      <c r="O104">
        <f t="shared" si="3"/>
        <v>110</v>
      </c>
      <c r="P104">
        <f>tb_investimentos[[#This Row],[PREÇO MÉDIO PONDERADO]]*tb_investimentos[[#This Row],[QUANTIDADE]]</f>
        <v>110</v>
      </c>
      <c r="Q104" s="58" t="str">
        <f ca="1">IFERROR(_xlfn.XLOOKUP(tb_investimentos[[#This Row],[DESCRIÇÃO]],tb_acoes[Símbolo do ticker],tb_acoes[Preço]),"")</f>
        <v/>
      </c>
      <c r="R104" s="58" t="str">
        <f ca="1">IFERROR(tb_investimentos[[#This Row],[QUANTIDADE]]*tb_investimentos[[#This Row],[PREÇO MERCADO]],"")</f>
        <v/>
      </c>
      <c r="S104" s="58" t="str">
        <f ca="1">IFERROR(tb_investimentos[[#This Row],[VALOR TOTAL MERCADO]]-tb_investimentos[[#This Row],[VALOR TOTAL PONDERADO]],"")</f>
        <v/>
      </c>
      <c r="T104" s="58" t="str">
        <f ca="1">IFERROR(_xlfn.XLOOKUP(tb_investimentos[[#This Row],[DESCRIÇÃO]],'INFO AÇÕES'!E:E,'INFO AÇÕES'!H:H),"")</f>
        <v/>
      </c>
      <c r="U104" s="59" t="str">
        <f ca="1">IFERROR((tb_investimentos[[#This Row],[VALOR TOTAL MERCADO]]-tb_investimentos[[#This Row],[VALOR TOTAL PONDERADO]])/tb_investimentos[[#This Row],[VALOR TOTAL PONDERADO]],"")</f>
        <v/>
      </c>
    </row>
    <row r="105" spans="2:21" hidden="1" x14ac:dyDescent="0.2">
      <c r="B105" s="13" t="s">
        <v>77</v>
      </c>
      <c r="C105" s="10">
        <v>46461</v>
      </c>
      <c r="D105" s="9" t="s">
        <v>88</v>
      </c>
      <c r="E105" s="11" t="str">
        <f>IF(tb_investimentos[[#This Row],[TIPO MOVIMENTAÇÃO]]="Aporte",_xlfn.XLOOKUP(tb_investimentos[[#This Row],[DESCRIÇÃO]],'INFO AÇÕES'!E:E,'INFO AÇÕES'!I:I),"BRL")</f>
        <v>BRL</v>
      </c>
      <c r="F105" s="75" t="s">
        <v>91</v>
      </c>
      <c r="G105" s="11">
        <v>1</v>
      </c>
      <c r="H105" s="83">
        <v>1056.5150599999999</v>
      </c>
      <c r="I105" s="13" t="s">
        <v>107</v>
      </c>
      <c r="J105" s="51">
        <f t="shared" si="2"/>
        <v>1056.5150599999999</v>
      </c>
      <c r="K105" s="13" t="s">
        <v>105</v>
      </c>
      <c r="L105">
        <f>MONTH(tb_investimentos[[#This Row],[DATA]])</f>
        <v>3</v>
      </c>
      <c r="M105">
        <f>YEAR(tb_investimentos[[#This Row],[DATA]])</f>
        <v>2027</v>
      </c>
      <c r="N105">
        <f>DAY(tb_investimentos[[#This Row],[DATA]])</f>
        <v>15</v>
      </c>
      <c r="O105">
        <f t="shared" si="3"/>
        <v>1629.9930261538464</v>
      </c>
      <c r="P105">
        <f>tb_investimentos[[#This Row],[PREÇO MÉDIO PONDERADO]]*tb_investimentos[[#This Row],[QUANTIDADE]]</f>
        <v>1629.9930261538464</v>
      </c>
      <c r="Q105" s="58" t="str">
        <f ca="1">IFERROR(_xlfn.XLOOKUP(tb_investimentos[[#This Row],[DESCRIÇÃO]],tb_acoes[Símbolo do ticker],tb_acoes[Preço]),"")</f>
        <v/>
      </c>
      <c r="R105" s="58" t="str">
        <f ca="1">IFERROR(tb_investimentos[[#This Row],[QUANTIDADE]]*tb_investimentos[[#This Row],[PREÇO MERCADO]],"")</f>
        <v/>
      </c>
      <c r="S105" s="58" t="str">
        <f ca="1">IFERROR(tb_investimentos[[#This Row],[VALOR TOTAL MERCADO]]-tb_investimentos[[#This Row],[VALOR TOTAL PONDERADO]],"")</f>
        <v/>
      </c>
      <c r="T105" s="58" t="str">
        <f ca="1">IFERROR(_xlfn.XLOOKUP(tb_investimentos[[#This Row],[DESCRIÇÃO]],'INFO AÇÕES'!E:E,'INFO AÇÕES'!H:H),"")</f>
        <v/>
      </c>
      <c r="U105" s="59" t="str">
        <f ca="1">IFERROR((tb_investimentos[[#This Row],[VALOR TOTAL MERCADO]]-tb_investimentos[[#This Row],[VALOR TOTAL PONDERADO]])/tb_investimentos[[#This Row],[VALOR TOTAL PONDERADO]],"")</f>
        <v/>
      </c>
    </row>
    <row r="106" spans="2:21" hidden="1" x14ac:dyDescent="0.2">
      <c r="B106" s="13" t="s">
        <v>77</v>
      </c>
      <c r="C106" s="10">
        <v>46466</v>
      </c>
      <c r="D106" s="9" t="s">
        <v>94</v>
      </c>
      <c r="E106" s="11" t="str">
        <f>IF(tb_investimentos[[#This Row],[TIPO MOVIMENTAÇÃO]]="Aporte",_xlfn.XLOOKUP(tb_investimentos[[#This Row],[DESCRIÇÃO]],'INFO AÇÕES'!E:E,'INFO AÇÕES'!I:I),"BRL")</f>
        <v>BRL</v>
      </c>
      <c r="F106" s="75" t="s">
        <v>95</v>
      </c>
      <c r="G106" s="11">
        <v>1</v>
      </c>
      <c r="H106" s="12">
        <v>95</v>
      </c>
      <c r="I106" s="13" t="s">
        <v>107</v>
      </c>
      <c r="J106" s="51">
        <f t="shared" si="2"/>
        <v>95</v>
      </c>
      <c r="K106" s="13" t="s">
        <v>105</v>
      </c>
      <c r="L106">
        <f>MONTH(tb_investimentos[[#This Row],[DATA]])</f>
        <v>3</v>
      </c>
      <c r="M106">
        <f>YEAR(tb_investimentos[[#This Row],[DATA]])</f>
        <v>2027</v>
      </c>
      <c r="N106">
        <f>DAY(tb_investimentos[[#This Row],[DATA]])</f>
        <v>20</v>
      </c>
      <c r="O106">
        <f t="shared" si="3"/>
        <v>93.857142857142861</v>
      </c>
      <c r="P106">
        <f>tb_investimentos[[#This Row],[PREÇO MÉDIO PONDERADO]]*tb_investimentos[[#This Row],[QUANTIDADE]]</f>
        <v>93.857142857142861</v>
      </c>
      <c r="Q106" s="58" t="str">
        <f ca="1">IFERROR(_xlfn.XLOOKUP(tb_investimentos[[#This Row],[DESCRIÇÃO]],tb_acoes[Símbolo do ticker],tb_acoes[Preço]),"")</f>
        <v/>
      </c>
      <c r="R106" s="58" t="str">
        <f ca="1">IFERROR(tb_investimentos[[#This Row],[QUANTIDADE]]*tb_investimentos[[#This Row],[PREÇO MERCADO]],"")</f>
        <v/>
      </c>
      <c r="S106" s="58" t="str">
        <f ca="1">IFERROR(tb_investimentos[[#This Row],[VALOR TOTAL MERCADO]]-tb_investimentos[[#This Row],[VALOR TOTAL PONDERADO]],"")</f>
        <v/>
      </c>
      <c r="T106" s="58" t="str">
        <f ca="1">IFERROR(_xlfn.XLOOKUP(tb_investimentos[[#This Row],[DESCRIÇÃO]],'INFO AÇÕES'!E:E,'INFO AÇÕES'!H:H),"")</f>
        <v/>
      </c>
      <c r="U106" s="59" t="str">
        <f ca="1">IFERROR((tb_investimentos[[#This Row],[VALOR TOTAL MERCADO]]-tb_investimentos[[#This Row],[VALOR TOTAL PONDERADO]])/tb_investimentos[[#This Row],[VALOR TOTAL PONDERADO]],"")</f>
        <v/>
      </c>
    </row>
    <row r="107" spans="2:21" hidden="1" x14ac:dyDescent="0.2">
      <c r="B107" s="13" t="s">
        <v>77</v>
      </c>
      <c r="C107" s="10">
        <v>46470</v>
      </c>
      <c r="D107" s="9" t="s">
        <v>84</v>
      </c>
      <c r="E107" s="11" t="str">
        <f>IF(tb_investimentos[[#This Row],[TIPO MOVIMENTAÇÃO]]="Aporte",_xlfn.XLOOKUP(tb_investimentos[[#This Row],[DESCRIÇÃO]],'INFO AÇÕES'!E:E,'INFO AÇÕES'!I:I),"BRL")</f>
        <v>BRL</v>
      </c>
      <c r="F107" s="75" t="s">
        <v>83</v>
      </c>
      <c r="G107" s="11">
        <v>1</v>
      </c>
      <c r="H107" s="12">
        <v>650</v>
      </c>
      <c r="I107" s="13" t="s">
        <v>107</v>
      </c>
      <c r="J107" s="51">
        <f t="shared" si="2"/>
        <v>650</v>
      </c>
      <c r="K107" s="13" t="s">
        <v>105</v>
      </c>
      <c r="L107">
        <f>MONTH(tb_investimentos[[#This Row],[DATA]])</f>
        <v>3</v>
      </c>
      <c r="M107">
        <f>YEAR(tb_investimentos[[#This Row],[DATA]])</f>
        <v>2027</v>
      </c>
      <c r="N107">
        <f>DAY(tb_investimentos[[#This Row],[DATA]])</f>
        <v>24</v>
      </c>
      <c r="O107">
        <f t="shared" si="3"/>
        <v>650</v>
      </c>
      <c r="P107">
        <f>tb_investimentos[[#This Row],[PREÇO MÉDIO PONDERADO]]*tb_investimentos[[#This Row],[QUANTIDADE]]</f>
        <v>650</v>
      </c>
      <c r="Q107" s="58" t="str">
        <f ca="1">IFERROR(_xlfn.XLOOKUP(tb_investimentos[[#This Row],[DESCRIÇÃO]],tb_acoes[Símbolo do ticker],tb_acoes[Preço]),"")</f>
        <v/>
      </c>
      <c r="R107" s="58" t="str">
        <f ca="1">IFERROR(tb_investimentos[[#This Row],[QUANTIDADE]]*tb_investimentos[[#This Row],[PREÇO MERCADO]],"")</f>
        <v/>
      </c>
      <c r="S107" s="58" t="str">
        <f ca="1">IFERROR(tb_investimentos[[#This Row],[VALOR TOTAL MERCADO]]-tb_investimentos[[#This Row],[VALOR TOTAL PONDERADO]],"")</f>
        <v/>
      </c>
      <c r="T107" s="58" t="str">
        <f ca="1">IFERROR(_xlfn.XLOOKUP(tb_investimentos[[#This Row],[DESCRIÇÃO]],'INFO AÇÕES'!E:E,'INFO AÇÕES'!H:H),"")</f>
        <v/>
      </c>
      <c r="U107" s="59" t="str">
        <f ca="1">IFERROR((tb_investimentos[[#This Row],[VALOR TOTAL MERCADO]]-tb_investimentos[[#This Row],[VALOR TOTAL PONDERADO]])/tb_investimentos[[#This Row],[VALOR TOTAL PONDERADO]],"")</f>
        <v/>
      </c>
    </row>
    <row r="108" spans="2:21" hidden="1" x14ac:dyDescent="0.2">
      <c r="B108" s="13" t="s">
        <v>77</v>
      </c>
      <c r="C108" s="10">
        <v>46474</v>
      </c>
      <c r="D108" s="9" t="s">
        <v>82</v>
      </c>
      <c r="E108" s="11" t="str">
        <f>IF(tb_investimentos[[#This Row],[TIPO MOVIMENTAÇÃO]]="Aporte",_xlfn.XLOOKUP(tb_investimentos[[#This Row],[DESCRIÇÃO]],'INFO AÇÕES'!E:E,'INFO AÇÕES'!I:I),"BRL")</f>
        <v>BRL</v>
      </c>
      <c r="F108" s="75" t="s">
        <v>81</v>
      </c>
      <c r="G108" s="11">
        <v>1</v>
      </c>
      <c r="H108" s="12">
        <v>650</v>
      </c>
      <c r="I108" s="13" t="s">
        <v>107</v>
      </c>
      <c r="J108" s="51">
        <f t="shared" si="2"/>
        <v>650</v>
      </c>
      <c r="K108" s="13" t="s">
        <v>105</v>
      </c>
      <c r="L108">
        <f>MONTH(tb_investimentos[[#This Row],[DATA]])</f>
        <v>3</v>
      </c>
      <c r="M108">
        <f>YEAR(tb_investimentos[[#This Row],[DATA]])</f>
        <v>2027</v>
      </c>
      <c r="N108">
        <f>DAY(tb_investimentos[[#This Row],[DATA]])</f>
        <v>28</v>
      </c>
      <c r="O108">
        <f t="shared" si="3"/>
        <v>650</v>
      </c>
      <c r="P108">
        <f>tb_investimentos[[#This Row],[PREÇO MÉDIO PONDERADO]]*tb_investimentos[[#This Row],[QUANTIDADE]]</f>
        <v>650</v>
      </c>
      <c r="Q108" s="58" t="str">
        <f ca="1">IFERROR(_xlfn.XLOOKUP(tb_investimentos[[#This Row],[DESCRIÇÃO]],tb_acoes[Símbolo do ticker],tb_acoes[Preço]),"")</f>
        <v/>
      </c>
      <c r="R108" s="58" t="str">
        <f ca="1">IFERROR(tb_investimentos[[#This Row],[QUANTIDADE]]*tb_investimentos[[#This Row],[PREÇO MERCADO]],"")</f>
        <v/>
      </c>
      <c r="S108" s="58" t="str">
        <f ca="1">IFERROR(tb_investimentos[[#This Row],[VALOR TOTAL MERCADO]]-tb_investimentos[[#This Row],[VALOR TOTAL PONDERADO]],"")</f>
        <v/>
      </c>
      <c r="T108" s="58" t="str">
        <f ca="1">IFERROR(_xlfn.XLOOKUP(tb_investimentos[[#This Row],[DESCRIÇÃO]],'INFO AÇÕES'!E:E,'INFO AÇÕES'!H:H),"")</f>
        <v/>
      </c>
      <c r="U108" s="59" t="str">
        <f ca="1">IFERROR((tb_investimentos[[#This Row],[VALOR TOTAL MERCADO]]-tb_investimentos[[#This Row],[VALOR TOTAL PONDERADO]])/tb_investimentos[[#This Row],[VALOR TOTAL PONDERADO]],"")</f>
        <v/>
      </c>
    </row>
    <row r="109" spans="2:21" hidden="1" x14ac:dyDescent="0.2">
      <c r="B109" s="13" t="s">
        <v>72</v>
      </c>
      <c r="C109" s="72">
        <v>46482</v>
      </c>
      <c r="D109" s="9" t="s">
        <v>76</v>
      </c>
      <c r="E109" s="11" t="str">
        <f>IF(tb_investimentos[[#This Row],[TIPO MOVIMENTAÇÃO]]="Aporte",_xlfn.XLOOKUP(tb_investimentos[[#This Row],[DESCRIÇÃO]],'INFO AÇÕES'!E:E,'INFO AÇÕES'!I:I),"BRL")</f>
        <v>BRL</v>
      </c>
      <c r="F109" s="75" t="s">
        <v>73</v>
      </c>
      <c r="G109" s="11">
        <v>1</v>
      </c>
      <c r="H109" s="12">
        <v>8000</v>
      </c>
      <c r="I109" s="13" t="s">
        <v>107</v>
      </c>
      <c r="J109" s="51">
        <f t="shared" si="2"/>
        <v>8000</v>
      </c>
      <c r="K109" s="13" t="s">
        <v>105</v>
      </c>
      <c r="L109">
        <f>MONTH(tb_investimentos[[#This Row],[DATA]])</f>
        <v>4</v>
      </c>
      <c r="M109">
        <f>YEAR(tb_investimentos[[#This Row],[DATA]])</f>
        <v>2027</v>
      </c>
      <c r="N109">
        <f>DAY(tb_investimentos[[#This Row],[DATA]])</f>
        <v>5</v>
      </c>
      <c r="O109">
        <f t="shared" si="3"/>
        <v>7801.7948717948721</v>
      </c>
      <c r="P109">
        <f>tb_investimentos[[#This Row],[PREÇO MÉDIO PONDERADO]]*tb_investimentos[[#This Row],[QUANTIDADE]]</f>
        <v>7801.7948717948721</v>
      </c>
      <c r="Q109" s="58" t="str">
        <f ca="1">IFERROR(_xlfn.XLOOKUP(tb_investimentos[[#This Row],[DESCRIÇÃO]],tb_acoes[Símbolo do ticker],tb_acoes[Preço]),"")</f>
        <v/>
      </c>
      <c r="R109" s="58" t="str">
        <f ca="1">IFERROR(tb_investimentos[[#This Row],[QUANTIDADE]]*tb_investimentos[[#This Row],[PREÇO MERCADO]],"")</f>
        <v/>
      </c>
      <c r="S109" s="58" t="str">
        <f ca="1">IFERROR(tb_investimentos[[#This Row],[VALOR TOTAL MERCADO]]-tb_investimentos[[#This Row],[VALOR TOTAL PONDERADO]],"")</f>
        <v/>
      </c>
      <c r="T109" s="58" t="str">
        <f ca="1">IFERROR(_xlfn.XLOOKUP(tb_investimentos[[#This Row],[DESCRIÇÃO]],'INFO AÇÕES'!E:E,'INFO AÇÕES'!H:H),"")</f>
        <v/>
      </c>
      <c r="U109" s="59" t="str">
        <f ca="1">IFERROR((tb_investimentos[[#This Row],[VALOR TOTAL MERCADO]]-tb_investimentos[[#This Row],[VALOR TOTAL PONDERADO]])/tb_investimentos[[#This Row],[VALOR TOTAL PONDERADO]],"")</f>
        <v/>
      </c>
    </row>
    <row r="110" spans="2:21" hidden="1" x14ac:dyDescent="0.2">
      <c r="B110" s="13" t="s">
        <v>72</v>
      </c>
      <c r="C110" s="10">
        <v>46482</v>
      </c>
      <c r="D110" s="9" t="s">
        <v>75</v>
      </c>
      <c r="E110" s="11" t="str">
        <f>IF(tb_investimentos[[#This Row],[TIPO MOVIMENTAÇÃO]]="Aporte",_xlfn.XLOOKUP(tb_investimentos[[#This Row],[DESCRIÇÃO]],'INFO AÇÕES'!E:E,'INFO AÇÕES'!I:I),"BRL")</f>
        <v>BRL</v>
      </c>
      <c r="F110" s="75" t="s">
        <v>74</v>
      </c>
      <c r="G110" s="11">
        <v>1</v>
      </c>
      <c r="H110" s="12">
        <v>700</v>
      </c>
      <c r="I110" s="13" t="s">
        <v>107</v>
      </c>
      <c r="J110" s="51">
        <f t="shared" si="2"/>
        <v>700</v>
      </c>
      <c r="K110" s="13" t="s">
        <v>105</v>
      </c>
      <c r="L110">
        <f>MONTH(tb_investimentos[[#This Row],[DATA]])</f>
        <v>4</v>
      </c>
      <c r="M110">
        <f>YEAR(tb_investimentos[[#This Row],[DATA]])</f>
        <v>2027</v>
      </c>
      <c r="N110">
        <f>DAY(tb_investimentos[[#This Row],[DATA]])</f>
        <v>5</v>
      </c>
      <c r="O110">
        <f t="shared" si="3"/>
        <v>770</v>
      </c>
      <c r="P110">
        <f>tb_investimentos[[#This Row],[PREÇO MÉDIO PONDERADO]]*tb_investimentos[[#This Row],[QUANTIDADE]]</f>
        <v>770</v>
      </c>
      <c r="Q110" s="58" t="str">
        <f ca="1">IFERROR(_xlfn.XLOOKUP(tb_investimentos[[#This Row],[DESCRIÇÃO]],tb_acoes[Símbolo do ticker],tb_acoes[Preço]),"")</f>
        <v/>
      </c>
      <c r="R110" s="58" t="str">
        <f ca="1">IFERROR(tb_investimentos[[#This Row],[QUANTIDADE]]*tb_investimentos[[#This Row],[PREÇO MERCADO]],"")</f>
        <v/>
      </c>
      <c r="S110" s="58" t="str">
        <f ca="1">IFERROR(tb_investimentos[[#This Row],[VALOR TOTAL MERCADO]]-tb_investimentos[[#This Row],[VALOR TOTAL PONDERADO]],"")</f>
        <v/>
      </c>
      <c r="T110" s="58" t="str">
        <f ca="1">IFERROR(_xlfn.XLOOKUP(tb_investimentos[[#This Row],[DESCRIÇÃO]],'INFO AÇÕES'!E:E,'INFO AÇÕES'!H:H),"")</f>
        <v/>
      </c>
      <c r="U110" s="59" t="str">
        <f ca="1">IFERROR((tb_investimentos[[#This Row],[VALOR TOTAL MERCADO]]-tb_investimentos[[#This Row],[VALOR TOTAL PONDERADO]])/tb_investimentos[[#This Row],[VALOR TOTAL PONDERADO]],"")</f>
        <v/>
      </c>
    </row>
    <row r="111" spans="2:21" hidden="1" x14ac:dyDescent="0.2">
      <c r="B111" s="13" t="s">
        <v>77</v>
      </c>
      <c r="C111" s="10">
        <v>46482</v>
      </c>
      <c r="D111" s="9" t="s">
        <v>92</v>
      </c>
      <c r="E111" s="11" t="str">
        <f>IF(tb_investimentos[[#This Row],[TIPO MOVIMENTAÇÃO]]="Aporte",_xlfn.XLOOKUP(tb_investimentos[[#This Row],[DESCRIÇÃO]],'INFO AÇÕES'!E:E,'INFO AÇÕES'!I:I),"BRL")</f>
        <v>BRL</v>
      </c>
      <c r="F111" s="75" t="s">
        <v>93</v>
      </c>
      <c r="G111" s="11">
        <v>1</v>
      </c>
      <c r="H111" s="12">
        <v>205</v>
      </c>
      <c r="I111" s="13" t="s">
        <v>107</v>
      </c>
      <c r="J111" s="51">
        <f t="shared" si="2"/>
        <v>205</v>
      </c>
      <c r="K111" s="13" t="s">
        <v>105</v>
      </c>
      <c r="L111">
        <f>MONTH(tb_investimentos[[#This Row],[DATA]])</f>
        <v>4</v>
      </c>
      <c r="M111">
        <f>YEAR(tb_investimentos[[#This Row],[DATA]])</f>
        <v>2027</v>
      </c>
      <c r="N111">
        <f>DAY(tb_investimentos[[#This Row],[DATA]])</f>
        <v>5</v>
      </c>
      <c r="O111">
        <f t="shared" si="3"/>
        <v>205</v>
      </c>
      <c r="P111">
        <f>tb_investimentos[[#This Row],[PREÇO MÉDIO PONDERADO]]*tb_investimentos[[#This Row],[QUANTIDADE]]</f>
        <v>205</v>
      </c>
      <c r="Q111" s="58" t="str">
        <f ca="1">IFERROR(_xlfn.XLOOKUP(tb_investimentos[[#This Row],[DESCRIÇÃO]],tb_acoes[Símbolo do ticker],tb_acoes[Preço]),"")</f>
        <v/>
      </c>
      <c r="R111" s="58" t="str">
        <f ca="1">IFERROR(tb_investimentos[[#This Row],[QUANTIDADE]]*tb_investimentos[[#This Row],[PREÇO MERCADO]],"")</f>
        <v/>
      </c>
      <c r="S111" s="58" t="str">
        <f ca="1">IFERROR(tb_investimentos[[#This Row],[VALOR TOTAL MERCADO]]-tb_investimentos[[#This Row],[VALOR TOTAL PONDERADO]],"")</f>
        <v/>
      </c>
      <c r="T111" s="58" t="str">
        <f ca="1">IFERROR(_xlfn.XLOOKUP(tb_investimentos[[#This Row],[DESCRIÇÃO]],'INFO AÇÕES'!E:E,'INFO AÇÕES'!H:H),"")</f>
        <v/>
      </c>
      <c r="U111" s="59" t="str">
        <f ca="1">IFERROR((tb_investimentos[[#This Row],[VALOR TOTAL MERCADO]]-tb_investimentos[[#This Row],[VALOR TOTAL PONDERADO]])/tb_investimentos[[#This Row],[VALOR TOTAL PONDERADO]],"")</f>
        <v/>
      </c>
    </row>
    <row r="112" spans="2:21" hidden="1" x14ac:dyDescent="0.2">
      <c r="B112" s="13" t="s">
        <v>77</v>
      </c>
      <c r="C112" s="10">
        <v>46482</v>
      </c>
      <c r="D112" s="9" t="s">
        <v>107</v>
      </c>
      <c r="E112" s="11" t="str">
        <f>IF(tb_investimentos[[#This Row],[TIPO MOVIMENTAÇÃO]]="Aporte",_xlfn.XLOOKUP(tb_investimentos[[#This Row],[DESCRIÇÃO]],'INFO AÇÕES'!E:E,'INFO AÇÕES'!I:I),"BRL")</f>
        <v>BRL</v>
      </c>
      <c r="F112" s="75" t="s">
        <v>106</v>
      </c>
      <c r="G112" s="11">
        <v>1</v>
      </c>
      <c r="H112" s="12">
        <v>500</v>
      </c>
      <c r="I112" s="13" t="s">
        <v>107</v>
      </c>
      <c r="J112" s="51">
        <f t="shared" si="2"/>
        <v>500</v>
      </c>
      <c r="K112" s="13" t="s">
        <v>105</v>
      </c>
      <c r="L112">
        <f>MONTH(tb_investimentos[[#This Row],[DATA]])</f>
        <v>4</v>
      </c>
      <c r="M112">
        <f>YEAR(tb_investimentos[[#This Row],[DATA]])</f>
        <v>2027</v>
      </c>
      <c r="N112">
        <f>DAY(tb_investimentos[[#This Row],[DATA]])</f>
        <v>5</v>
      </c>
      <c r="O112">
        <f t="shared" si="3"/>
        <v>515.93333333333328</v>
      </c>
      <c r="P112">
        <f>tb_investimentos[[#This Row],[PREÇO MÉDIO PONDERADO]]*tb_investimentos[[#This Row],[QUANTIDADE]]</f>
        <v>515.93333333333328</v>
      </c>
      <c r="Q112" s="58" t="str">
        <f ca="1">IFERROR(_xlfn.XLOOKUP(tb_investimentos[[#This Row],[DESCRIÇÃO]],tb_acoes[Símbolo do ticker],tb_acoes[Preço]),"")</f>
        <v/>
      </c>
      <c r="R112" s="58" t="str">
        <f ca="1">IFERROR(tb_investimentos[[#This Row],[QUANTIDADE]]*tb_investimentos[[#This Row],[PREÇO MERCADO]],"")</f>
        <v/>
      </c>
      <c r="S112" s="58" t="str">
        <f ca="1">IFERROR(tb_investimentos[[#This Row],[VALOR TOTAL MERCADO]]-tb_investimentos[[#This Row],[VALOR TOTAL PONDERADO]],"")</f>
        <v/>
      </c>
      <c r="T112" s="58" t="str">
        <f ca="1">IFERROR(_xlfn.XLOOKUP(tb_investimentos[[#This Row],[DESCRIÇÃO]],'INFO AÇÕES'!E:E,'INFO AÇÕES'!H:H),"")</f>
        <v/>
      </c>
      <c r="U112" s="59" t="str">
        <f ca="1">IFERROR((tb_investimentos[[#This Row],[VALOR TOTAL MERCADO]]-tb_investimentos[[#This Row],[VALOR TOTAL PONDERADO]])/tb_investimentos[[#This Row],[VALOR TOTAL PONDERADO]],"")</f>
        <v/>
      </c>
    </row>
    <row r="113" spans="2:21" hidden="1" x14ac:dyDescent="0.2">
      <c r="B113" s="13" t="s">
        <v>39</v>
      </c>
      <c r="C113" s="10">
        <v>46482</v>
      </c>
      <c r="D113" s="9"/>
      <c r="E113" s="11">
        <f ca="1">IF(tb_investimentos[[#This Row],[TIPO MOVIMENTAÇÃO]]="Aporte",_xlfn.XLOOKUP(tb_investimentos[[#This Row],[DESCRIÇÃO]],'INFO AÇÕES'!E:E,'INFO AÇÕES'!I:I),"BRL")</f>
        <v>0</v>
      </c>
      <c r="F113" s="73" t="s">
        <v>10</v>
      </c>
      <c r="G113" s="11">
        <v>1</v>
      </c>
      <c r="H113" s="12">
        <v>2500</v>
      </c>
      <c r="I113" s="13" t="s">
        <v>58</v>
      </c>
      <c r="J113" s="51">
        <f t="shared" si="2"/>
        <v>2500</v>
      </c>
      <c r="K113" s="11" t="s">
        <v>105</v>
      </c>
      <c r="L113">
        <f>MONTH(tb_investimentos[[#This Row],[DATA]])</f>
        <v>4</v>
      </c>
      <c r="M113">
        <f>YEAR(tb_investimentos[[#This Row],[DATA]])</f>
        <v>2027</v>
      </c>
      <c r="N113">
        <f>DAY(tb_investimentos[[#This Row],[DATA]])</f>
        <v>5</v>
      </c>
      <c r="O113" t="e">
        <f t="shared" si="3"/>
        <v>#DIV/0!</v>
      </c>
      <c r="P113" t="e">
        <f>tb_investimentos[[#This Row],[PREÇO MÉDIO PONDERADO]]*tb_investimentos[[#This Row],[QUANTIDADE]]</f>
        <v>#DIV/0!</v>
      </c>
      <c r="Q113" s="58" t="str">
        <f ca="1">IFERROR(_xlfn.XLOOKUP(tb_investimentos[[#This Row],[DESCRIÇÃO]],tb_acoes[Símbolo do ticker],tb_acoes[Preço]),"")</f>
        <v/>
      </c>
      <c r="R113" s="58" t="str">
        <f ca="1">IFERROR(tb_investimentos[[#This Row],[QUANTIDADE]]*tb_investimentos[[#This Row],[PREÇO MERCADO]],"")</f>
        <v/>
      </c>
      <c r="S113" s="58" t="str">
        <f ca="1">IFERROR(tb_investimentos[[#This Row],[VALOR TOTAL MERCADO]]-tb_investimentos[[#This Row],[VALOR TOTAL PONDERADO]],"")</f>
        <v/>
      </c>
      <c r="T113" s="58" t="str">
        <f ca="1">IFERROR(_xlfn.XLOOKUP(tb_investimentos[[#This Row],[DESCRIÇÃO]],'INFO AÇÕES'!E:E,'INFO AÇÕES'!H:H),"")</f>
        <v/>
      </c>
      <c r="U113" s="59" t="str">
        <f ca="1">IFERROR((tb_investimentos[[#This Row],[VALOR TOTAL MERCADO]]-tb_investimentos[[#This Row],[VALOR TOTAL PONDERADO]])/tb_investimentos[[#This Row],[VALOR TOTAL PONDERADO]],"")</f>
        <v/>
      </c>
    </row>
    <row r="114" spans="2:21" hidden="1" x14ac:dyDescent="0.2">
      <c r="B114" s="13" t="s">
        <v>77</v>
      </c>
      <c r="C114" s="10">
        <v>46485</v>
      </c>
      <c r="D114" s="9" t="s">
        <v>80</v>
      </c>
      <c r="E114" s="11" t="str">
        <f>IF(tb_investimentos[[#This Row],[TIPO MOVIMENTAÇÃO]]="Aporte",_xlfn.XLOOKUP(tb_investimentos[[#This Row],[DESCRIÇÃO]],'INFO AÇÕES'!E:E,'INFO AÇÕES'!I:I),"BRL")</f>
        <v>BRL</v>
      </c>
      <c r="F114" s="75" t="s">
        <v>99</v>
      </c>
      <c r="G114" s="11">
        <v>1</v>
      </c>
      <c r="H114" s="12">
        <v>25</v>
      </c>
      <c r="I114" s="13" t="s">
        <v>107</v>
      </c>
      <c r="J114" s="51">
        <f t="shared" si="2"/>
        <v>25</v>
      </c>
      <c r="K114" s="13" t="s">
        <v>105</v>
      </c>
      <c r="L114">
        <f>MONTH(tb_investimentos[[#This Row],[DATA]])</f>
        <v>4</v>
      </c>
      <c r="M114">
        <f>YEAR(tb_investimentos[[#This Row],[DATA]])</f>
        <v>2027</v>
      </c>
      <c r="N114">
        <f>DAY(tb_investimentos[[#This Row],[DATA]])</f>
        <v>8</v>
      </c>
      <c r="O114">
        <f t="shared" si="3"/>
        <v>25</v>
      </c>
      <c r="P114">
        <f>tb_investimentos[[#This Row],[PREÇO MÉDIO PONDERADO]]*tb_investimentos[[#This Row],[QUANTIDADE]]</f>
        <v>25</v>
      </c>
      <c r="Q114" s="58" t="str">
        <f ca="1">IFERROR(_xlfn.XLOOKUP(tb_investimentos[[#This Row],[DESCRIÇÃO]],tb_acoes[Símbolo do ticker],tb_acoes[Preço]),"")</f>
        <v/>
      </c>
      <c r="R114" s="58" t="str">
        <f ca="1">IFERROR(tb_investimentos[[#This Row],[QUANTIDADE]]*tb_investimentos[[#This Row],[PREÇO MERCADO]],"")</f>
        <v/>
      </c>
      <c r="S114" s="58" t="str">
        <f ca="1">IFERROR(tb_investimentos[[#This Row],[VALOR TOTAL MERCADO]]-tb_investimentos[[#This Row],[VALOR TOTAL PONDERADO]],"")</f>
        <v/>
      </c>
      <c r="T114" s="58" t="str">
        <f ca="1">IFERROR(_xlfn.XLOOKUP(tb_investimentos[[#This Row],[DESCRIÇÃO]],'INFO AÇÕES'!E:E,'INFO AÇÕES'!H:H),"")</f>
        <v/>
      </c>
      <c r="U114" s="59" t="str">
        <f ca="1">IFERROR((tb_investimentos[[#This Row],[VALOR TOTAL MERCADO]]-tb_investimentos[[#This Row],[VALOR TOTAL PONDERADO]])/tb_investimentos[[#This Row],[VALOR TOTAL PONDERADO]],"")</f>
        <v/>
      </c>
    </row>
    <row r="115" spans="2:21" hidden="1" x14ac:dyDescent="0.2">
      <c r="B115" s="13" t="s">
        <v>77</v>
      </c>
      <c r="C115" s="10">
        <v>46487</v>
      </c>
      <c r="D115" s="9" t="s">
        <v>85</v>
      </c>
      <c r="E115" s="11" t="str">
        <f>IF(tb_investimentos[[#This Row],[TIPO MOVIMENTAÇÃO]]="Aporte",_xlfn.XLOOKUP(tb_investimentos[[#This Row],[DESCRIÇÃO]],'INFO AÇÕES'!E:E,'INFO AÇÕES'!I:I),"BRL")</f>
        <v>BRL</v>
      </c>
      <c r="F115" s="75" t="s">
        <v>104</v>
      </c>
      <c r="G115" s="11">
        <v>1</v>
      </c>
      <c r="H115" s="12">
        <v>95</v>
      </c>
      <c r="I115" s="13" t="s">
        <v>107</v>
      </c>
      <c r="J115" s="51">
        <f t="shared" si="2"/>
        <v>95</v>
      </c>
      <c r="K115" s="13" t="s">
        <v>105</v>
      </c>
      <c r="L115">
        <f>MONTH(tb_investimentos[[#This Row],[DATA]])</f>
        <v>4</v>
      </c>
      <c r="M115">
        <f>YEAR(tb_investimentos[[#This Row],[DATA]])</f>
        <v>2027</v>
      </c>
      <c r="N115">
        <f>DAY(tb_investimentos[[#This Row],[DATA]])</f>
        <v>10</v>
      </c>
      <c r="O115">
        <f t="shared" si="3"/>
        <v>95</v>
      </c>
      <c r="P115">
        <f>tb_investimentos[[#This Row],[PREÇO MÉDIO PONDERADO]]*tb_investimentos[[#This Row],[QUANTIDADE]]</f>
        <v>95</v>
      </c>
      <c r="Q115" s="58" t="str">
        <f ca="1">IFERROR(_xlfn.XLOOKUP(tb_investimentos[[#This Row],[DESCRIÇÃO]],tb_acoes[Símbolo do ticker],tb_acoes[Preço]),"")</f>
        <v/>
      </c>
      <c r="R115" s="58" t="str">
        <f ca="1">IFERROR(tb_investimentos[[#This Row],[QUANTIDADE]]*tb_investimentos[[#This Row],[PREÇO MERCADO]],"")</f>
        <v/>
      </c>
      <c r="S115" s="58" t="str">
        <f ca="1">IFERROR(tb_investimentos[[#This Row],[VALOR TOTAL MERCADO]]-tb_investimentos[[#This Row],[VALOR TOTAL PONDERADO]],"")</f>
        <v/>
      </c>
      <c r="T115" s="58" t="str">
        <f ca="1">IFERROR(_xlfn.XLOOKUP(tb_investimentos[[#This Row],[DESCRIÇÃO]],'INFO AÇÕES'!E:E,'INFO AÇÕES'!H:H),"")</f>
        <v/>
      </c>
      <c r="U115" s="59" t="str">
        <f ca="1">IFERROR((tb_investimentos[[#This Row],[VALOR TOTAL MERCADO]]-tb_investimentos[[#This Row],[VALOR TOTAL PONDERADO]])/tb_investimentos[[#This Row],[VALOR TOTAL PONDERADO]],"")</f>
        <v/>
      </c>
    </row>
    <row r="116" spans="2:21" hidden="1" x14ac:dyDescent="0.2">
      <c r="B116" s="13" t="s">
        <v>77</v>
      </c>
      <c r="C116" s="10">
        <v>46489</v>
      </c>
      <c r="D116" s="9" t="s">
        <v>89</v>
      </c>
      <c r="E116" s="11" t="str">
        <f>IF(tb_investimentos[[#This Row],[TIPO MOVIMENTAÇÃO]]="Aporte",_xlfn.XLOOKUP(tb_investimentos[[#This Row],[DESCRIÇÃO]],'INFO AÇÕES'!E:E,'INFO AÇÕES'!I:I),"BRL")</f>
        <v>BRL</v>
      </c>
      <c r="F116" s="75" t="s">
        <v>90</v>
      </c>
      <c r="G116" s="11">
        <v>1</v>
      </c>
      <c r="H116" s="12">
        <v>16.899999999999999</v>
      </c>
      <c r="I116" s="13" t="s">
        <v>107</v>
      </c>
      <c r="J116" s="51">
        <f t="shared" si="2"/>
        <v>16.899999999999999</v>
      </c>
      <c r="K116" s="13" t="s">
        <v>105</v>
      </c>
      <c r="L116">
        <f>MONTH(tb_investimentos[[#This Row],[DATA]])</f>
        <v>4</v>
      </c>
      <c r="M116">
        <f>YEAR(tb_investimentos[[#This Row],[DATA]])</f>
        <v>2027</v>
      </c>
      <c r="N116">
        <f>DAY(tb_investimentos[[#This Row],[DATA]])</f>
        <v>12</v>
      </c>
      <c r="O116">
        <f t="shared" si="3"/>
        <v>137.33453714285722</v>
      </c>
      <c r="P116">
        <f>tb_investimentos[[#This Row],[PREÇO MÉDIO PONDERADO]]*tb_investimentos[[#This Row],[QUANTIDADE]]</f>
        <v>137.33453714285722</v>
      </c>
      <c r="Q116" s="58" t="str">
        <f ca="1">IFERROR(_xlfn.XLOOKUP(tb_investimentos[[#This Row],[DESCRIÇÃO]],tb_acoes[Símbolo do ticker],tb_acoes[Preço]),"")</f>
        <v/>
      </c>
      <c r="R116" s="58" t="str">
        <f ca="1">IFERROR(tb_investimentos[[#This Row],[QUANTIDADE]]*tb_investimentos[[#This Row],[PREÇO MERCADO]],"")</f>
        <v/>
      </c>
      <c r="S116" s="58" t="str">
        <f ca="1">IFERROR(tb_investimentos[[#This Row],[VALOR TOTAL MERCADO]]-tb_investimentos[[#This Row],[VALOR TOTAL PONDERADO]],"")</f>
        <v/>
      </c>
      <c r="T116" s="58" t="str">
        <f ca="1">IFERROR(_xlfn.XLOOKUP(tb_investimentos[[#This Row],[DESCRIÇÃO]],'INFO AÇÕES'!E:E,'INFO AÇÕES'!H:H),"")</f>
        <v/>
      </c>
      <c r="U116" s="59" t="str">
        <f ca="1">IFERROR((tb_investimentos[[#This Row],[VALOR TOTAL MERCADO]]-tb_investimentos[[#This Row],[VALOR TOTAL PONDERADO]])/tb_investimentos[[#This Row],[VALOR TOTAL PONDERADO]],"")</f>
        <v/>
      </c>
    </row>
    <row r="117" spans="2:21" hidden="1" x14ac:dyDescent="0.2">
      <c r="B117" s="13" t="s">
        <v>77</v>
      </c>
      <c r="C117" s="72">
        <v>46492</v>
      </c>
      <c r="D117" s="9" t="s">
        <v>78</v>
      </c>
      <c r="E117" s="11" t="str">
        <f>IF(tb_investimentos[[#This Row],[TIPO MOVIMENTAÇÃO]]="Aporte",_xlfn.XLOOKUP(tb_investimentos[[#This Row],[DESCRIÇÃO]],'INFO AÇÕES'!E:E,'INFO AÇÕES'!I:I),"BRL")</f>
        <v>BRL</v>
      </c>
      <c r="F117" s="75" t="s">
        <v>102</v>
      </c>
      <c r="G117" s="11">
        <v>1</v>
      </c>
      <c r="H117" s="12">
        <v>39.9</v>
      </c>
      <c r="I117" s="13" t="s">
        <v>107</v>
      </c>
      <c r="J117" s="51">
        <f t="shared" si="2"/>
        <v>39.9</v>
      </c>
      <c r="K117" s="13" t="s">
        <v>105</v>
      </c>
      <c r="L117">
        <f>MONTH(tb_investimentos[[#This Row],[DATA]])</f>
        <v>4</v>
      </c>
      <c r="M117">
        <f>YEAR(tb_investimentos[[#This Row],[DATA]])</f>
        <v>2027</v>
      </c>
      <c r="N117">
        <f>DAY(tb_investimentos[[#This Row],[DATA]])</f>
        <v>15</v>
      </c>
      <c r="O117">
        <f t="shared" si="3"/>
        <v>59.90000000000002</v>
      </c>
      <c r="P117">
        <f>tb_investimentos[[#This Row],[PREÇO MÉDIO PONDERADO]]*tb_investimentos[[#This Row],[QUANTIDADE]]</f>
        <v>59.90000000000002</v>
      </c>
      <c r="Q117" s="58" t="str">
        <f ca="1">IFERROR(_xlfn.XLOOKUP(tb_investimentos[[#This Row],[DESCRIÇÃO]],tb_acoes[Símbolo do ticker],tb_acoes[Preço]),"")</f>
        <v/>
      </c>
      <c r="R117" s="58" t="str">
        <f ca="1">IFERROR(tb_investimentos[[#This Row],[QUANTIDADE]]*tb_investimentos[[#This Row],[PREÇO MERCADO]],"")</f>
        <v/>
      </c>
      <c r="S117" s="58" t="str">
        <f ca="1">IFERROR(tb_investimentos[[#This Row],[VALOR TOTAL MERCADO]]-tb_investimentos[[#This Row],[VALOR TOTAL PONDERADO]],"")</f>
        <v/>
      </c>
      <c r="T117" s="58" t="str">
        <f ca="1">IFERROR(_xlfn.XLOOKUP(tb_investimentos[[#This Row],[DESCRIÇÃO]],'INFO AÇÕES'!E:E,'INFO AÇÕES'!H:H),"")</f>
        <v/>
      </c>
      <c r="U117" s="59" t="str">
        <f ca="1">IFERROR((tb_investimentos[[#This Row],[VALOR TOTAL MERCADO]]-tb_investimentos[[#This Row],[VALOR TOTAL PONDERADO]])/tb_investimentos[[#This Row],[VALOR TOTAL PONDERADO]],"")</f>
        <v/>
      </c>
    </row>
    <row r="118" spans="2:21" hidden="1" x14ac:dyDescent="0.2">
      <c r="B118" s="13" t="s">
        <v>77</v>
      </c>
      <c r="C118" s="72">
        <v>46492</v>
      </c>
      <c r="D118" s="9" t="s">
        <v>78</v>
      </c>
      <c r="E118" s="11" t="str">
        <f>IF(tb_investimentos[[#This Row],[TIPO MOVIMENTAÇÃO]]="Aporte",_xlfn.XLOOKUP(tb_investimentos[[#This Row],[DESCRIÇÃO]],'INFO AÇÕES'!E:E,'INFO AÇÕES'!I:I),"BRL")</f>
        <v>BRL</v>
      </c>
      <c r="F118" s="75" t="s">
        <v>101</v>
      </c>
      <c r="G118" s="11">
        <v>1</v>
      </c>
      <c r="H118" s="12">
        <v>79.900000000000006</v>
      </c>
      <c r="I118" s="13" t="s">
        <v>107</v>
      </c>
      <c r="J118" s="51">
        <f t="shared" si="2"/>
        <v>79.900000000000006</v>
      </c>
      <c r="K118" s="13" t="s">
        <v>105</v>
      </c>
      <c r="L118">
        <f>MONTH(tb_investimentos[[#This Row],[DATA]])</f>
        <v>4</v>
      </c>
      <c r="M118">
        <f>YEAR(tb_investimentos[[#This Row],[DATA]])</f>
        <v>2027</v>
      </c>
      <c r="N118">
        <f>DAY(tb_investimentos[[#This Row],[DATA]])</f>
        <v>15</v>
      </c>
      <c r="O118">
        <f t="shared" si="3"/>
        <v>59.90000000000002</v>
      </c>
      <c r="P118">
        <f>tb_investimentos[[#This Row],[PREÇO MÉDIO PONDERADO]]*tb_investimentos[[#This Row],[QUANTIDADE]]</f>
        <v>59.90000000000002</v>
      </c>
      <c r="Q118" s="58" t="str">
        <f ca="1">IFERROR(_xlfn.XLOOKUP(tb_investimentos[[#This Row],[DESCRIÇÃO]],tb_acoes[Símbolo do ticker],tb_acoes[Preço]),"")</f>
        <v/>
      </c>
      <c r="R118" s="58" t="str">
        <f ca="1">IFERROR(tb_investimentos[[#This Row],[QUANTIDADE]]*tb_investimentos[[#This Row],[PREÇO MERCADO]],"")</f>
        <v/>
      </c>
      <c r="S118" s="58" t="str">
        <f ca="1">IFERROR(tb_investimentos[[#This Row],[VALOR TOTAL MERCADO]]-tb_investimentos[[#This Row],[VALOR TOTAL PONDERADO]],"")</f>
        <v/>
      </c>
      <c r="T118" s="58" t="str">
        <f ca="1">IFERROR(_xlfn.XLOOKUP(tb_investimentos[[#This Row],[DESCRIÇÃO]],'INFO AÇÕES'!E:E,'INFO AÇÕES'!H:H),"")</f>
        <v/>
      </c>
      <c r="U118" s="59" t="str">
        <f ca="1">IFERROR((tb_investimentos[[#This Row],[VALOR TOTAL MERCADO]]-tb_investimentos[[#This Row],[VALOR TOTAL PONDERADO]])/tb_investimentos[[#This Row],[VALOR TOTAL PONDERADO]],"")</f>
        <v/>
      </c>
    </row>
    <row r="119" spans="2:21" hidden="1" x14ac:dyDescent="0.2">
      <c r="B119" s="13" t="s">
        <v>77</v>
      </c>
      <c r="C119" s="72">
        <v>46492</v>
      </c>
      <c r="D119" s="9" t="s">
        <v>79</v>
      </c>
      <c r="E119" s="11" t="str">
        <f>IF(tb_investimentos[[#This Row],[TIPO MOVIMENTAÇÃO]]="Aporte",_xlfn.XLOOKUP(tb_investimentos[[#This Row],[DESCRIÇÃO]],'INFO AÇÕES'!E:E,'INFO AÇÕES'!I:I),"BRL")</f>
        <v>BRL</v>
      </c>
      <c r="F119" s="75" t="s">
        <v>100</v>
      </c>
      <c r="G119" s="11">
        <v>1</v>
      </c>
      <c r="H119" s="12">
        <v>110</v>
      </c>
      <c r="I119" s="13" t="s">
        <v>107</v>
      </c>
      <c r="J119" s="51">
        <f t="shared" si="2"/>
        <v>110</v>
      </c>
      <c r="K119" s="13" t="s">
        <v>105</v>
      </c>
      <c r="L119">
        <f>MONTH(tb_investimentos[[#This Row],[DATA]])</f>
        <v>4</v>
      </c>
      <c r="M119">
        <f>YEAR(tb_investimentos[[#This Row],[DATA]])</f>
        <v>2027</v>
      </c>
      <c r="N119">
        <f>DAY(tb_investimentos[[#This Row],[DATA]])</f>
        <v>15</v>
      </c>
      <c r="O119">
        <f t="shared" si="3"/>
        <v>110</v>
      </c>
      <c r="P119">
        <f>tb_investimentos[[#This Row],[PREÇO MÉDIO PONDERADO]]*tb_investimentos[[#This Row],[QUANTIDADE]]</f>
        <v>110</v>
      </c>
      <c r="Q119" s="58" t="str">
        <f ca="1">IFERROR(_xlfn.XLOOKUP(tb_investimentos[[#This Row],[DESCRIÇÃO]],tb_acoes[Símbolo do ticker],tb_acoes[Preço]),"")</f>
        <v/>
      </c>
      <c r="R119" s="58" t="str">
        <f ca="1">IFERROR(tb_investimentos[[#This Row],[QUANTIDADE]]*tb_investimentos[[#This Row],[PREÇO MERCADO]],"")</f>
        <v/>
      </c>
      <c r="S119" s="58" t="str">
        <f ca="1">IFERROR(tb_investimentos[[#This Row],[VALOR TOTAL MERCADO]]-tb_investimentos[[#This Row],[VALOR TOTAL PONDERADO]],"")</f>
        <v/>
      </c>
      <c r="T119" s="58" t="str">
        <f ca="1">IFERROR(_xlfn.XLOOKUP(tb_investimentos[[#This Row],[DESCRIÇÃO]],'INFO AÇÕES'!E:E,'INFO AÇÕES'!H:H),"")</f>
        <v/>
      </c>
      <c r="U119" s="59" t="str">
        <f ca="1">IFERROR((tb_investimentos[[#This Row],[VALOR TOTAL MERCADO]]-tb_investimentos[[#This Row],[VALOR TOTAL PONDERADO]])/tb_investimentos[[#This Row],[VALOR TOTAL PONDERADO]],"")</f>
        <v/>
      </c>
    </row>
    <row r="120" spans="2:21" hidden="1" x14ac:dyDescent="0.2">
      <c r="B120" s="13" t="s">
        <v>77</v>
      </c>
      <c r="C120" s="10">
        <v>46492</v>
      </c>
      <c r="D120" s="9" t="s">
        <v>88</v>
      </c>
      <c r="E120" s="11" t="str">
        <f>IF(tb_investimentos[[#This Row],[TIPO MOVIMENTAÇÃO]]="Aporte",_xlfn.XLOOKUP(tb_investimentos[[#This Row],[DESCRIÇÃO]],'INFO AÇÕES'!E:E,'INFO AÇÕES'!I:I),"BRL")</f>
        <v>BRL</v>
      </c>
      <c r="F120" s="75" t="s">
        <v>91</v>
      </c>
      <c r="G120" s="11">
        <v>1</v>
      </c>
      <c r="H120" s="83">
        <v>1119.5248000000001</v>
      </c>
      <c r="I120" s="13" t="s">
        <v>107</v>
      </c>
      <c r="J120" s="51">
        <f t="shared" si="2"/>
        <v>1119.5248000000001</v>
      </c>
      <c r="K120" s="13" t="s">
        <v>105</v>
      </c>
      <c r="L120">
        <f>MONTH(tb_investimentos[[#This Row],[DATA]])</f>
        <v>4</v>
      </c>
      <c r="M120">
        <f>YEAR(tb_investimentos[[#This Row],[DATA]])</f>
        <v>2027</v>
      </c>
      <c r="N120">
        <f>DAY(tb_investimentos[[#This Row],[DATA]])</f>
        <v>15</v>
      </c>
      <c r="O120">
        <f t="shared" si="3"/>
        <v>1629.9930261538464</v>
      </c>
      <c r="P120">
        <f>tb_investimentos[[#This Row],[PREÇO MÉDIO PONDERADO]]*tb_investimentos[[#This Row],[QUANTIDADE]]</f>
        <v>1629.9930261538464</v>
      </c>
      <c r="Q120" s="58" t="str">
        <f ca="1">IFERROR(_xlfn.XLOOKUP(tb_investimentos[[#This Row],[DESCRIÇÃO]],tb_acoes[Símbolo do ticker],tb_acoes[Preço]),"")</f>
        <v/>
      </c>
      <c r="R120" s="58" t="str">
        <f ca="1">IFERROR(tb_investimentos[[#This Row],[QUANTIDADE]]*tb_investimentos[[#This Row],[PREÇO MERCADO]],"")</f>
        <v/>
      </c>
      <c r="S120" s="58" t="str">
        <f ca="1">IFERROR(tb_investimentos[[#This Row],[VALOR TOTAL MERCADO]]-tb_investimentos[[#This Row],[VALOR TOTAL PONDERADO]],"")</f>
        <v/>
      </c>
      <c r="T120" s="58" t="str">
        <f ca="1">IFERROR(_xlfn.XLOOKUP(tb_investimentos[[#This Row],[DESCRIÇÃO]],'INFO AÇÕES'!E:E,'INFO AÇÕES'!H:H),"")</f>
        <v/>
      </c>
      <c r="U120" s="59" t="str">
        <f ca="1">IFERROR((tb_investimentos[[#This Row],[VALOR TOTAL MERCADO]]-tb_investimentos[[#This Row],[VALOR TOTAL PONDERADO]])/tb_investimentos[[#This Row],[VALOR TOTAL PONDERADO]],"")</f>
        <v/>
      </c>
    </row>
    <row r="121" spans="2:21" hidden="1" x14ac:dyDescent="0.2">
      <c r="B121" s="13" t="s">
        <v>77</v>
      </c>
      <c r="C121" s="10">
        <v>46497</v>
      </c>
      <c r="D121" s="9" t="s">
        <v>94</v>
      </c>
      <c r="E121" s="11" t="str">
        <f>IF(tb_investimentos[[#This Row],[TIPO MOVIMENTAÇÃO]]="Aporte",_xlfn.XLOOKUP(tb_investimentos[[#This Row],[DESCRIÇÃO]],'INFO AÇÕES'!E:E,'INFO AÇÕES'!I:I),"BRL")</f>
        <v>BRL</v>
      </c>
      <c r="F121" s="75" t="s">
        <v>95</v>
      </c>
      <c r="G121" s="11">
        <v>1</v>
      </c>
      <c r="H121" s="12">
        <v>95</v>
      </c>
      <c r="I121" s="13" t="s">
        <v>107</v>
      </c>
      <c r="J121" s="51">
        <f t="shared" si="2"/>
        <v>95</v>
      </c>
      <c r="K121" s="13" t="s">
        <v>105</v>
      </c>
      <c r="L121">
        <f>MONTH(tb_investimentos[[#This Row],[DATA]])</f>
        <v>4</v>
      </c>
      <c r="M121">
        <f>YEAR(tb_investimentos[[#This Row],[DATA]])</f>
        <v>2027</v>
      </c>
      <c r="N121">
        <f>DAY(tb_investimentos[[#This Row],[DATA]])</f>
        <v>20</v>
      </c>
      <c r="O121">
        <f t="shared" si="3"/>
        <v>93.857142857142861</v>
      </c>
      <c r="P121">
        <f>tb_investimentos[[#This Row],[PREÇO MÉDIO PONDERADO]]*tb_investimentos[[#This Row],[QUANTIDADE]]</f>
        <v>93.857142857142861</v>
      </c>
      <c r="Q121" s="58" t="str">
        <f ca="1">IFERROR(_xlfn.XLOOKUP(tb_investimentos[[#This Row],[DESCRIÇÃO]],tb_acoes[Símbolo do ticker],tb_acoes[Preço]),"")</f>
        <v/>
      </c>
      <c r="R121" s="58" t="str">
        <f ca="1">IFERROR(tb_investimentos[[#This Row],[QUANTIDADE]]*tb_investimentos[[#This Row],[PREÇO MERCADO]],"")</f>
        <v/>
      </c>
      <c r="S121" s="58" t="str">
        <f ca="1">IFERROR(tb_investimentos[[#This Row],[VALOR TOTAL MERCADO]]-tb_investimentos[[#This Row],[VALOR TOTAL PONDERADO]],"")</f>
        <v/>
      </c>
      <c r="T121" s="58" t="str">
        <f ca="1">IFERROR(_xlfn.XLOOKUP(tb_investimentos[[#This Row],[DESCRIÇÃO]],'INFO AÇÕES'!E:E,'INFO AÇÕES'!H:H),"")</f>
        <v/>
      </c>
      <c r="U121" s="59" t="str">
        <f ca="1">IFERROR((tb_investimentos[[#This Row],[VALOR TOTAL MERCADO]]-tb_investimentos[[#This Row],[VALOR TOTAL PONDERADO]])/tb_investimentos[[#This Row],[VALOR TOTAL PONDERADO]],"")</f>
        <v/>
      </c>
    </row>
    <row r="122" spans="2:21" hidden="1" x14ac:dyDescent="0.2">
      <c r="B122" s="13" t="s">
        <v>77</v>
      </c>
      <c r="C122" s="10">
        <v>46501</v>
      </c>
      <c r="D122" s="9" t="s">
        <v>84</v>
      </c>
      <c r="E122" s="11" t="str">
        <f>IF(tb_investimentos[[#This Row],[TIPO MOVIMENTAÇÃO]]="Aporte",_xlfn.XLOOKUP(tb_investimentos[[#This Row],[DESCRIÇÃO]],'INFO AÇÕES'!E:E,'INFO AÇÕES'!I:I),"BRL")</f>
        <v>BRL</v>
      </c>
      <c r="F122" s="75" t="s">
        <v>83</v>
      </c>
      <c r="G122" s="11">
        <v>1</v>
      </c>
      <c r="H122" s="12">
        <v>650</v>
      </c>
      <c r="I122" s="13" t="s">
        <v>107</v>
      </c>
      <c r="J122" s="51">
        <f t="shared" si="2"/>
        <v>650</v>
      </c>
      <c r="K122" s="13" t="s">
        <v>105</v>
      </c>
      <c r="L122">
        <f>MONTH(tb_investimentos[[#This Row],[DATA]])</f>
        <v>4</v>
      </c>
      <c r="M122">
        <f>YEAR(tb_investimentos[[#This Row],[DATA]])</f>
        <v>2027</v>
      </c>
      <c r="N122">
        <f>DAY(tb_investimentos[[#This Row],[DATA]])</f>
        <v>24</v>
      </c>
      <c r="O122">
        <f t="shared" si="3"/>
        <v>650</v>
      </c>
      <c r="P122">
        <f>tb_investimentos[[#This Row],[PREÇO MÉDIO PONDERADO]]*tb_investimentos[[#This Row],[QUANTIDADE]]</f>
        <v>650</v>
      </c>
      <c r="Q122" s="58" t="str">
        <f ca="1">IFERROR(_xlfn.XLOOKUP(tb_investimentos[[#This Row],[DESCRIÇÃO]],tb_acoes[Símbolo do ticker],tb_acoes[Preço]),"")</f>
        <v/>
      </c>
      <c r="R122" s="58" t="str">
        <f ca="1">IFERROR(tb_investimentos[[#This Row],[QUANTIDADE]]*tb_investimentos[[#This Row],[PREÇO MERCADO]],"")</f>
        <v/>
      </c>
      <c r="S122" s="58" t="str">
        <f ca="1">IFERROR(tb_investimentos[[#This Row],[VALOR TOTAL MERCADO]]-tb_investimentos[[#This Row],[VALOR TOTAL PONDERADO]],"")</f>
        <v/>
      </c>
      <c r="T122" s="58" t="str">
        <f ca="1">IFERROR(_xlfn.XLOOKUP(tb_investimentos[[#This Row],[DESCRIÇÃO]],'INFO AÇÕES'!E:E,'INFO AÇÕES'!H:H),"")</f>
        <v/>
      </c>
      <c r="U122" s="59" t="str">
        <f ca="1">IFERROR((tb_investimentos[[#This Row],[VALOR TOTAL MERCADO]]-tb_investimentos[[#This Row],[VALOR TOTAL PONDERADO]])/tb_investimentos[[#This Row],[VALOR TOTAL PONDERADO]],"")</f>
        <v/>
      </c>
    </row>
    <row r="123" spans="2:21" hidden="1" x14ac:dyDescent="0.2">
      <c r="B123" s="13" t="s">
        <v>77</v>
      </c>
      <c r="C123" s="10">
        <v>46505</v>
      </c>
      <c r="D123" s="9" t="s">
        <v>82</v>
      </c>
      <c r="E123" s="11" t="str">
        <f>IF(tb_investimentos[[#This Row],[TIPO MOVIMENTAÇÃO]]="Aporte",_xlfn.XLOOKUP(tb_investimentos[[#This Row],[DESCRIÇÃO]],'INFO AÇÕES'!E:E,'INFO AÇÕES'!I:I),"BRL")</f>
        <v>BRL</v>
      </c>
      <c r="F123" s="75" t="s">
        <v>81</v>
      </c>
      <c r="G123" s="11">
        <v>1</v>
      </c>
      <c r="H123" s="12">
        <v>650</v>
      </c>
      <c r="I123" s="13" t="s">
        <v>107</v>
      </c>
      <c r="J123" s="51">
        <f t="shared" si="2"/>
        <v>650</v>
      </c>
      <c r="K123" s="13" t="s">
        <v>105</v>
      </c>
      <c r="L123">
        <f>MONTH(tb_investimentos[[#This Row],[DATA]])</f>
        <v>4</v>
      </c>
      <c r="M123">
        <f>YEAR(tb_investimentos[[#This Row],[DATA]])</f>
        <v>2027</v>
      </c>
      <c r="N123">
        <f>DAY(tb_investimentos[[#This Row],[DATA]])</f>
        <v>28</v>
      </c>
      <c r="O123">
        <f t="shared" si="3"/>
        <v>650</v>
      </c>
      <c r="P123">
        <f>tb_investimentos[[#This Row],[PREÇO MÉDIO PONDERADO]]*tb_investimentos[[#This Row],[QUANTIDADE]]</f>
        <v>650</v>
      </c>
      <c r="Q123" s="58" t="str">
        <f ca="1">IFERROR(_xlfn.XLOOKUP(tb_investimentos[[#This Row],[DESCRIÇÃO]],tb_acoes[Símbolo do ticker],tb_acoes[Preço]),"")</f>
        <v/>
      </c>
      <c r="R123" s="58" t="str">
        <f ca="1">IFERROR(tb_investimentos[[#This Row],[QUANTIDADE]]*tb_investimentos[[#This Row],[PREÇO MERCADO]],"")</f>
        <v/>
      </c>
      <c r="S123" s="58" t="str">
        <f ca="1">IFERROR(tb_investimentos[[#This Row],[VALOR TOTAL MERCADO]]-tb_investimentos[[#This Row],[VALOR TOTAL PONDERADO]],"")</f>
        <v/>
      </c>
      <c r="T123" s="58" t="str">
        <f ca="1">IFERROR(_xlfn.XLOOKUP(tb_investimentos[[#This Row],[DESCRIÇÃO]],'INFO AÇÕES'!E:E,'INFO AÇÕES'!H:H),"")</f>
        <v/>
      </c>
      <c r="U123" s="59" t="str">
        <f ca="1">IFERROR((tb_investimentos[[#This Row],[VALOR TOTAL MERCADO]]-tb_investimentos[[#This Row],[VALOR TOTAL PONDERADO]])/tb_investimentos[[#This Row],[VALOR TOTAL PONDERADO]],"")</f>
        <v/>
      </c>
    </row>
    <row r="124" spans="2:21" hidden="1" x14ac:dyDescent="0.2">
      <c r="B124" s="13" t="s">
        <v>72</v>
      </c>
      <c r="C124" s="72">
        <v>46512</v>
      </c>
      <c r="D124" s="9" t="s">
        <v>76</v>
      </c>
      <c r="E124" s="11" t="str">
        <f>IF(tb_investimentos[[#This Row],[TIPO MOVIMENTAÇÃO]]="Aporte",_xlfn.XLOOKUP(tb_investimentos[[#This Row],[DESCRIÇÃO]],'INFO AÇÕES'!E:E,'INFO AÇÕES'!I:I),"BRL")</f>
        <v>BRL</v>
      </c>
      <c r="F124" s="75" t="s">
        <v>73</v>
      </c>
      <c r="G124" s="11">
        <v>1</v>
      </c>
      <c r="H124" s="12">
        <v>8000</v>
      </c>
      <c r="I124" s="13" t="s">
        <v>107</v>
      </c>
      <c r="J124" s="51">
        <f t="shared" si="2"/>
        <v>8000</v>
      </c>
      <c r="K124" s="13" t="s">
        <v>105</v>
      </c>
      <c r="L124">
        <f>MONTH(tb_investimentos[[#This Row],[DATA]])</f>
        <v>5</v>
      </c>
      <c r="M124">
        <f>YEAR(tb_investimentos[[#This Row],[DATA]])</f>
        <v>2027</v>
      </c>
      <c r="N124">
        <f>DAY(tb_investimentos[[#This Row],[DATA]])</f>
        <v>5</v>
      </c>
      <c r="O124">
        <f t="shared" si="3"/>
        <v>7801.7948717948721</v>
      </c>
      <c r="P124">
        <f>tb_investimentos[[#This Row],[PREÇO MÉDIO PONDERADO]]*tb_investimentos[[#This Row],[QUANTIDADE]]</f>
        <v>7801.7948717948721</v>
      </c>
      <c r="Q124" s="58" t="str">
        <f ca="1">IFERROR(_xlfn.XLOOKUP(tb_investimentos[[#This Row],[DESCRIÇÃO]],tb_acoes[Símbolo do ticker],tb_acoes[Preço]),"")</f>
        <v/>
      </c>
      <c r="R124" s="58" t="str">
        <f ca="1">IFERROR(tb_investimentos[[#This Row],[QUANTIDADE]]*tb_investimentos[[#This Row],[PREÇO MERCADO]],"")</f>
        <v/>
      </c>
      <c r="S124" s="58" t="str">
        <f ca="1">IFERROR(tb_investimentos[[#This Row],[VALOR TOTAL MERCADO]]-tb_investimentos[[#This Row],[VALOR TOTAL PONDERADO]],"")</f>
        <v/>
      </c>
      <c r="T124" s="58" t="str">
        <f ca="1">IFERROR(_xlfn.XLOOKUP(tb_investimentos[[#This Row],[DESCRIÇÃO]],'INFO AÇÕES'!E:E,'INFO AÇÕES'!H:H),"")</f>
        <v/>
      </c>
      <c r="U124" s="59" t="str">
        <f ca="1">IFERROR((tb_investimentos[[#This Row],[VALOR TOTAL MERCADO]]-tb_investimentos[[#This Row],[VALOR TOTAL PONDERADO]])/tb_investimentos[[#This Row],[VALOR TOTAL PONDERADO]],"")</f>
        <v/>
      </c>
    </row>
    <row r="125" spans="2:21" hidden="1" x14ac:dyDescent="0.2">
      <c r="B125" s="13" t="s">
        <v>72</v>
      </c>
      <c r="C125" s="10">
        <v>46512</v>
      </c>
      <c r="D125" s="9" t="s">
        <v>75</v>
      </c>
      <c r="E125" s="11" t="str">
        <f>IF(tb_investimentos[[#This Row],[TIPO MOVIMENTAÇÃO]]="Aporte",_xlfn.XLOOKUP(tb_investimentos[[#This Row],[DESCRIÇÃO]],'INFO AÇÕES'!E:E,'INFO AÇÕES'!I:I),"BRL")</f>
        <v>BRL</v>
      </c>
      <c r="F125" s="75" t="s">
        <v>74</v>
      </c>
      <c r="G125" s="11">
        <v>1</v>
      </c>
      <c r="H125" s="12">
        <v>700</v>
      </c>
      <c r="I125" s="13" t="s">
        <v>107</v>
      </c>
      <c r="J125" s="51">
        <f t="shared" si="2"/>
        <v>700</v>
      </c>
      <c r="K125" s="13" t="s">
        <v>105</v>
      </c>
      <c r="L125">
        <f>MONTH(tb_investimentos[[#This Row],[DATA]])</f>
        <v>5</v>
      </c>
      <c r="M125">
        <f>YEAR(tb_investimentos[[#This Row],[DATA]])</f>
        <v>2027</v>
      </c>
      <c r="N125">
        <f>DAY(tb_investimentos[[#This Row],[DATA]])</f>
        <v>5</v>
      </c>
      <c r="O125">
        <f t="shared" si="3"/>
        <v>770</v>
      </c>
      <c r="P125">
        <f>tb_investimentos[[#This Row],[PREÇO MÉDIO PONDERADO]]*tb_investimentos[[#This Row],[QUANTIDADE]]</f>
        <v>770</v>
      </c>
      <c r="Q125" s="58" t="str">
        <f ca="1">IFERROR(_xlfn.XLOOKUP(tb_investimentos[[#This Row],[DESCRIÇÃO]],tb_acoes[Símbolo do ticker],tb_acoes[Preço]),"")</f>
        <v/>
      </c>
      <c r="R125" s="58" t="str">
        <f ca="1">IFERROR(tb_investimentos[[#This Row],[QUANTIDADE]]*tb_investimentos[[#This Row],[PREÇO MERCADO]],"")</f>
        <v/>
      </c>
      <c r="S125" s="58" t="str">
        <f ca="1">IFERROR(tb_investimentos[[#This Row],[VALOR TOTAL MERCADO]]-tb_investimentos[[#This Row],[VALOR TOTAL PONDERADO]],"")</f>
        <v/>
      </c>
      <c r="T125" s="58" t="str">
        <f ca="1">IFERROR(_xlfn.XLOOKUP(tb_investimentos[[#This Row],[DESCRIÇÃO]],'INFO AÇÕES'!E:E,'INFO AÇÕES'!H:H),"")</f>
        <v/>
      </c>
      <c r="U125" s="59" t="str">
        <f ca="1">IFERROR((tb_investimentos[[#This Row],[VALOR TOTAL MERCADO]]-tb_investimentos[[#This Row],[VALOR TOTAL PONDERADO]])/tb_investimentos[[#This Row],[VALOR TOTAL PONDERADO]],"")</f>
        <v/>
      </c>
    </row>
    <row r="126" spans="2:21" hidden="1" x14ac:dyDescent="0.2">
      <c r="B126" s="13" t="s">
        <v>77</v>
      </c>
      <c r="C126" s="10">
        <v>46512</v>
      </c>
      <c r="D126" s="9" t="s">
        <v>92</v>
      </c>
      <c r="E126" s="11" t="str">
        <f>IF(tb_investimentos[[#This Row],[TIPO MOVIMENTAÇÃO]]="Aporte",_xlfn.XLOOKUP(tb_investimentos[[#This Row],[DESCRIÇÃO]],'INFO AÇÕES'!E:E,'INFO AÇÕES'!I:I),"BRL")</f>
        <v>BRL</v>
      </c>
      <c r="F126" s="75" t="s">
        <v>93</v>
      </c>
      <c r="G126" s="11">
        <v>1</v>
      </c>
      <c r="H126" s="12">
        <v>205</v>
      </c>
      <c r="I126" s="13" t="s">
        <v>107</v>
      </c>
      <c r="J126" s="51">
        <f t="shared" si="2"/>
        <v>205</v>
      </c>
      <c r="K126" s="13" t="s">
        <v>105</v>
      </c>
      <c r="L126">
        <f>MONTH(tb_investimentos[[#This Row],[DATA]])</f>
        <v>5</v>
      </c>
      <c r="M126">
        <f>YEAR(tb_investimentos[[#This Row],[DATA]])</f>
        <v>2027</v>
      </c>
      <c r="N126">
        <f>DAY(tb_investimentos[[#This Row],[DATA]])</f>
        <v>5</v>
      </c>
      <c r="O126">
        <f t="shared" si="3"/>
        <v>205</v>
      </c>
      <c r="P126">
        <f>tb_investimentos[[#This Row],[PREÇO MÉDIO PONDERADO]]*tb_investimentos[[#This Row],[QUANTIDADE]]</f>
        <v>205</v>
      </c>
      <c r="Q126" s="58" t="str">
        <f ca="1">IFERROR(_xlfn.XLOOKUP(tb_investimentos[[#This Row],[DESCRIÇÃO]],tb_acoes[Símbolo do ticker],tb_acoes[Preço]),"")</f>
        <v/>
      </c>
      <c r="R126" s="58" t="str">
        <f ca="1">IFERROR(tb_investimentos[[#This Row],[QUANTIDADE]]*tb_investimentos[[#This Row],[PREÇO MERCADO]],"")</f>
        <v/>
      </c>
      <c r="S126" s="58" t="str">
        <f ca="1">IFERROR(tb_investimentos[[#This Row],[VALOR TOTAL MERCADO]]-tb_investimentos[[#This Row],[VALOR TOTAL PONDERADO]],"")</f>
        <v/>
      </c>
      <c r="T126" s="58" t="str">
        <f ca="1">IFERROR(_xlfn.XLOOKUP(tb_investimentos[[#This Row],[DESCRIÇÃO]],'INFO AÇÕES'!E:E,'INFO AÇÕES'!H:H),"")</f>
        <v/>
      </c>
      <c r="U126" s="59" t="str">
        <f ca="1">IFERROR((tb_investimentos[[#This Row],[VALOR TOTAL MERCADO]]-tb_investimentos[[#This Row],[VALOR TOTAL PONDERADO]])/tb_investimentos[[#This Row],[VALOR TOTAL PONDERADO]],"")</f>
        <v/>
      </c>
    </row>
    <row r="127" spans="2:21" hidden="1" x14ac:dyDescent="0.2">
      <c r="B127" s="13" t="s">
        <v>77</v>
      </c>
      <c r="C127" s="10">
        <v>46512</v>
      </c>
      <c r="D127" s="9" t="s">
        <v>107</v>
      </c>
      <c r="E127" s="11" t="str">
        <f>IF(tb_investimentos[[#This Row],[TIPO MOVIMENTAÇÃO]]="Aporte",_xlfn.XLOOKUP(tb_investimentos[[#This Row],[DESCRIÇÃO]],'INFO AÇÕES'!E:E,'INFO AÇÕES'!I:I),"BRL")</f>
        <v>BRL</v>
      </c>
      <c r="F127" s="75" t="s">
        <v>106</v>
      </c>
      <c r="G127" s="11">
        <v>1</v>
      </c>
      <c r="H127" s="12">
        <v>500</v>
      </c>
      <c r="I127" s="13" t="s">
        <v>107</v>
      </c>
      <c r="J127" s="51">
        <f t="shared" si="2"/>
        <v>500</v>
      </c>
      <c r="K127" s="13" t="s">
        <v>105</v>
      </c>
      <c r="L127">
        <f>MONTH(tb_investimentos[[#This Row],[DATA]])</f>
        <v>5</v>
      </c>
      <c r="M127">
        <f>YEAR(tb_investimentos[[#This Row],[DATA]])</f>
        <v>2027</v>
      </c>
      <c r="N127">
        <f>DAY(tb_investimentos[[#This Row],[DATA]])</f>
        <v>5</v>
      </c>
      <c r="O127">
        <f t="shared" si="3"/>
        <v>515.93333333333328</v>
      </c>
      <c r="P127">
        <f>tb_investimentos[[#This Row],[PREÇO MÉDIO PONDERADO]]*tb_investimentos[[#This Row],[QUANTIDADE]]</f>
        <v>515.93333333333328</v>
      </c>
      <c r="Q127" s="58" t="str">
        <f ca="1">IFERROR(_xlfn.XLOOKUP(tb_investimentos[[#This Row],[DESCRIÇÃO]],tb_acoes[Símbolo do ticker],tb_acoes[Preço]),"")</f>
        <v/>
      </c>
      <c r="R127" s="58" t="str">
        <f ca="1">IFERROR(tb_investimentos[[#This Row],[QUANTIDADE]]*tb_investimentos[[#This Row],[PREÇO MERCADO]],"")</f>
        <v/>
      </c>
      <c r="S127" s="58" t="str">
        <f ca="1">IFERROR(tb_investimentos[[#This Row],[VALOR TOTAL MERCADO]]-tb_investimentos[[#This Row],[VALOR TOTAL PONDERADO]],"")</f>
        <v/>
      </c>
      <c r="T127" s="58" t="str">
        <f ca="1">IFERROR(_xlfn.XLOOKUP(tb_investimentos[[#This Row],[DESCRIÇÃO]],'INFO AÇÕES'!E:E,'INFO AÇÕES'!H:H),"")</f>
        <v/>
      </c>
      <c r="U127" s="59" t="str">
        <f ca="1">IFERROR((tb_investimentos[[#This Row],[VALOR TOTAL MERCADO]]-tb_investimentos[[#This Row],[VALOR TOTAL PONDERADO]])/tb_investimentos[[#This Row],[VALOR TOTAL PONDERADO]],"")</f>
        <v/>
      </c>
    </row>
    <row r="128" spans="2:21" hidden="1" x14ac:dyDescent="0.2">
      <c r="B128" s="13" t="s">
        <v>39</v>
      </c>
      <c r="C128" s="10">
        <v>46512</v>
      </c>
      <c r="D128" s="9"/>
      <c r="E128" s="11">
        <f ca="1">IF(tb_investimentos[[#This Row],[TIPO MOVIMENTAÇÃO]]="Aporte",_xlfn.XLOOKUP(tb_investimentos[[#This Row],[DESCRIÇÃO]],'INFO AÇÕES'!E:E,'INFO AÇÕES'!I:I),"BRL")</f>
        <v>0</v>
      </c>
      <c r="F128" s="73" t="s">
        <v>10</v>
      </c>
      <c r="G128" s="11">
        <v>1</v>
      </c>
      <c r="H128" s="12">
        <v>2500</v>
      </c>
      <c r="I128" s="13" t="s">
        <v>58</v>
      </c>
      <c r="J128" s="51">
        <f t="shared" si="2"/>
        <v>2500</v>
      </c>
      <c r="K128" s="11" t="s">
        <v>105</v>
      </c>
      <c r="L128">
        <f>MONTH(tb_investimentos[[#This Row],[DATA]])</f>
        <v>5</v>
      </c>
      <c r="M128">
        <f>YEAR(tb_investimentos[[#This Row],[DATA]])</f>
        <v>2027</v>
      </c>
      <c r="N128">
        <f>DAY(tb_investimentos[[#This Row],[DATA]])</f>
        <v>5</v>
      </c>
      <c r="O128" t="e">
        <f t="shared" si="3"/>
        <v>#DIV/0!</v>
      </c>
      <c r="P128" t="e">
        <f>tb_investimentos[[#This Row],[PREÇO MÉDIO PONDERADO]]*tb_investimentos[[#This Row],[QUANTIDADE]]</f>
        <v>#DIV/0!</v>
      </c>
      <c r="Q128" s="58" t="str">
        <f ca="1">IFERROR(_xlfn.XLOOKUP(tb_investimentos[[#This Row],[DESCRIÇÃO]],tb_acoes[Símbolo do ticker],tb_acoes[Preço]),"")</f>
        <v/>
      </c>
      <c r="R128" s="58" t="str">
        <f ca="1">IFERROR(tb_investimentos[[#This Row],[QUANTIDADE]]*tb_investimentos[[#This Row],[PREÇO MERCADO]],"")</f>
        <v/>
      </c>
      <c r="S128" s="58" t="str">
        <f ca="1">IFERROR(tb_investimentos[[#This Row],[VALOR TOTAL MERCADO]]-tb_investimentos[[#This Row],[VALOR TOTAL PONDERADO]],"")</f>
        <v/>
      </c>
      <c r="T128" s="58" t="str">
        <f ca="1">IFERROR(_xlfn.XLOOKUP(tb_investimentos[[#This Row],[DESCRIÇÃO]],'INFO AÇÕES'!E:E,'INFO AÇÕES'!H:H),"")</f>
        <v/>
      </c>
      <c r="U128" s="59" t="str">
        <f ca="1">IFERROR((tb_investimentos[[#This Row],[VALOR TOTAL MERCADO]]-tb_investimentos[[#This Row],[VALOR TOTAL PONDERADO]])/tb_investimentos[[#This Row],[VALOR TOTAL PONDERADO]],"")</f>
        <v/>
      </c>
    </row>
    <row r="129" spans="2:21" hidden="1" x14ac:dyDescent="0.2">
      <c r="B129" s="13" t="s">
        <v>77</v>
      </c>
      <c r="C129" s="10">
        <v>46515</v>
      </c>
      <c r="D129" s="9" t="s">
        <v>80</v>
      </c>
      <c r="E129" s="11" t="str">
        <f>IF(tb_investimentos[[#This Row],[TIPO MOVIMENTAÇÃO]]="Aporte",_xlfn.XLOOKUP(tb_investimentos[[#This Row],[DESCRIÇÃO]],'INFO AÇÕES'!E:E,'INFO AÇÕES'!I:I),"BRL")</f>
        <v>BRL</v>
      </c>
      <c r="F129" s="75" t="s">
        <v>99</v>
      </c>
      <c r="G129" s="11">
        <v>1</v>
      </c>
      <c r="H129" s="12">
        <v>25</v>
      </c>
      <c r="I129" s="13" t="s">
        <v>107</v>
      </c>
      <c r="J129" s="51">
        <f t="shared" si="2"/>
        <v>25</v>
      </c>
      <c r="K129" s="13" t="s">
        <v>105</v>
      </c>
      <c r="L129">
        <f>MONTH(tb_investimentos[[#This Row],[DATA]])</f>
        <v>5</v>
      </c>
      <c r="M129">
        <f>YEAR(tb_investimentos[[#This Row],[DATA]])</f>
        <v>2027</v>
      </c>
      <c r="N129">
        <f>DAY(tb_investimentos[[#This Row],[DATA]])</f>
        <v>8</v>
      </c>
      <c r="O129">
        <f t="shared" si="3"/>
        <v>25</v>
      </c>
      <c r="P129">
        <f>tb_investimentos[[#This Row],[PREÇO MÉDIO PONDERADO]]*tb_investimentos[[#This Row],[QUANTIDADE]]</f>
        <v>25</v>
      </c>
      <c r="Q129" s="58" t="str">
        <f ca="1">IFERROR(_xlfn.XLOOKUP(tb_investimentos[[#This Row],[DESCRIÇÃO]],tb_acoes[Símbolo do ticker],tb_acoes[Preço]),"")</f>
        <v/>
      </c>
      <c r="R129" s="58" t="str">
        <f ca="1">IFERROR(tb_investimentos[[#This Row],[QUANTIDADE]]*tb_investimentos[[#This Row],[PREÇO MERCADO]],"")</f>
        <v/>
      </c>
      <c r="S129" s="58" t="str">
        <f ca="1">IFERROR(tb_investimentos[[#This Row],[VALOR TOTAL MERCADO]]-tb_investimentos[[#This Row],[VALOR TOTAL PONDERADO]],"")</f>
        <v/>
      </c>
      <c r="T129" s="58" t="str">
        <f ca="1">IFERROR(_xlfn.XLOOKUP(tb_investimentos[[#This Row],[DESCRIÇÃO]],'INFO AÇÕES'!E:E,'INFO AÇÕES'!H:H),"")</f>
        <v/>
      </c>
      <c r="U129" s="59" t="str">
        <f ca="1">IFERROR((tb_investimentos[[#This Row],[VALOR TOTAL MERCADO]]-tb_investimentos[[#This Row],[VALOR TOTAL PONDERADO]])/tb_investimentos[[#This Row],[VALOR TOTAL PONDERADO]],"")</f>
        <v/>
      </c>
    </row>
    <row r="130" spans="2:21" hidden="1" x14ac:dyDescent="0.2">
      <c r="B130" s="13" t="s">
        <v>77</v>
      </c>
      <c r="C130" s="10">
        <v>46517</v>
      </c>
      <c r="D130" s="9" t="s">
        <v>85</v>
      </c>
      <c r="E130" s="11" t="str">
        <f>IF(tb_investimentos[[#This Row],[TIPO MOVIMENTAÇÃO]]="Aporte",_xlfn.XLOOKUP(tb_investimentos[[#This Row],[DESCRIÇÃO]],'INFO AÇÕES'!E:E,'INFO AÇÕES'!I:I),"BRL")</f>
        <v>BRL</v>
      </c>
      <c r="F130" s="75" t="s">
        <v>104</v>
      </c>
      <c r="G130" s="11">
        <v>1</v>
      </c>
      <c r="H130" s="12">
        <v>95</v>
      </c>
      <c r="I130" s="13" t="s">
        <v>107</v>
      </c>
      <c r="J130" s="51">
        <f t="shared" si="2"/>
        <v>95</v>
      </c>
      <c r="K130" s="13" t="s">
        <v>105</v>
      </c>
      <c r="L130">
        <f>MONTH(tb_investimentos[[#This Row],[DATA]])</f>
        <v>5</v>
      </c>
      <c r="M130">
        <f>YEAR(tb_investimentos[[#This Row],[DATA]])</f>
        <v>2027</v>
      </c>
      <c r="N130">
        <f>DAY(tb_investimentos[[#This Row],[DATA]])</f>
        <v>10</v>
      </c>
      <c r="O130">
        <f t="shared" si="3"/>
        <v>95</v>
      </c>
      <c r="P130">
        <f>tb_investimentos[[#This Row],[PREÇO MÉDIO PONDERADO]]*tb_investimentos[[#This Row],[QUANTIDADE]]</f>
        <v>95</v>
      </c>
      <c r="Q130" s="58" t="str">
        <f ca="1">IFERROR(_xlfn.XLOOKUP(tb_investimentos[[#This Row],[DESCRIÇÃO]],tb_acoes[Símbolo do ticker],tb_acoes[Preço]),"")</f>
        <v/>
      </c>
      <c r="R130" s="58" t="str">
        <f ca="1">IFERROR(tb_investimentos[[#This Row],[QUANTIDADE]]*tb_investimentos[[#This Row],[PREÇO MERCADO]],"")</f>
        <v/>
      </c>
      <c r="S130" s="58" t="str">
        <f ca="1">IFERROR(tb_investimentos[[#This Row],[VALOR TOTAL MERCADO]]-tb_investimentos[[#This Row],[VALOR TOTAL PONDERADO]],"")</f>
        <v/>
      </c>
      <c r="T130" s="58" t="str">
        <f ca="1">IFERROR(_xlfn.XLOOKUP(tb_investimentos[[#This Row],[DESCRIÇÃO]],'INFO AÇÕES'!E:E,'INFO AÇÕES'!H:H),"")</f>
        <v/>
      </c>
      <c r="U130" s="59" t="str">
        <f ca="1">IFERROR((tb_investimentos[[#This Row],[VALOR TOTAL MERCADO]]-tb_investimentos[[#This Row],[VALOR TOTAL PONDERADO]])/tb_investimentos[[#This Row],[VALOR TOTAL PONDERADO]],"")</f>
        <v/>
      </c>
    </row>
    <row r="131" spans="2:21" hidden="1" x14ac:dyDescent="0.2">
      <c r="B131" s="13" t="s">
        <v>77</v>
      </c>
      <c r="C131" s="10">
        <v>46519</v>
      </c>
      <c r="D131" s="9" t="s">
        <v>89</v>
      </c>
      <c r="E131" s="11" t="str">
        <f>IF(tb_investimentos[[#This Row],[TIPO MOVIMENTAÇÃO]]="Aporte",_xlfn.XLOOKUP(tb_investimentos[[#This Row],[DESCRIÇÃO]],'INFO AÇÕES'!E:E,'INFO AÇÕES'!I:I),"BRL")</f>
        <v>BRL</v>
      </c>
      <c r="F131" s="75" t="s">
        <v>90</v>
      </c>
      <c r="G131" s="11">
        <v>1</v>
      </c>
      <c r="H131" s="12">
        <v>16.899999999999999</v>
      </c>
      <c r="I131" s="13" t="s">
        <v>107</v>
      </c>
      <c r="J131" s="51">
        <f t="shared" si="2"/>
        <v>16.899999999999999</v>
      </c>
      <c r="K131" s="13" t="s">
        <v>105</v>
      </c>
      <c r="L131">
        <f>MONTH(tb_investimentos[[#This Row],[DATA]])</f>
        <v>5</v>
      </c>
      <c r="M131">
        <f>YEAR(tb_investimentos[[#This Row],[DATA]])</f>
        <v>2027</v>
      </c>
      <c r="N131">
        <f>DAY(tb_investimentos[[#This Row],[DATA]])</f>
        <v>12</v>
      </c>
      <c r="O131">
        <f t="shared" si="3"/>
        <v>137.33453714285722</v>
      </c>
      <c r="P131">
        <f>tb_investimentos[[#This Row],[PREÇO MÉDIO PONDERADO]]*tb_investimentos[[#This Row],[QUANTIDADE]]</f>
        <v>137.33453714285722</v>
      </c>
      <c r="Q131" s="58" t="str">
        <f ca="1">IFERROR(_xlfn.XLOOKUP(tb_investimentos[[#This Row],[DESCRIÇÃO]],tb_acoes[Símbolo do ticker],tb_acoes[Preço]),"")</f>
        <v/>
      </c>
      <c r="R131" s="58" t="str">
        <f ca="1">IFERROR(tb_investimentos[[#This Row],[QUANTIDADE]]*tb_investimentos[[#This Row],[PREÇO MERCADO]],"")</f>
        <v/>
      </c>
      <c r="S131" s="58" t="str">
        <f ca="1">IFERROR(tb_investimentos[[#This Row],[VALOR TOTAL MERCADO]]-tb_investimentos[[#This Row],[VALOR TOTAL PONDERADO]],"")</f>
        <v/>
      </c>
      <c r="T131" s="58" t="str">
        <f ca="1">IFERROR(_xlfn.XLOOKUP(tb_investimentos[[#This Row],[DESCRIÇÃO]],'INFO AÇÕES'!E:E,'INFO AÇÕES'!H:H),"")</f>
        <v/>
      </c>
      <c r="U131" s="59" t="str">
        <f ca="1">IFERROR((tb_investimentos[[#This Row],[VALOR TOTAL MERCADO]]-tb_investimentos[[#This Row],[VALOR TOTAL PONDERADO]])/tb_investimentos[[#This Row],[VALOR TOTAL PONDERADO]],"")</f>
        <v/>
      </c>
    </row>
    <row r="132" spans="2:21" hidden="1" x14ac:dyDescent="0.2">
      <c r="B132" s="13" t="s">
        <v>77</v>
      </c>
      <c r="C132" s="72">
        <v>46522</v>
      </c>
      <c r="D132" s="9" t="s">
        <v>78</v>
      </c>
      <c r="E132" s="11" t="str">
        <f>IF(tb_investimentos[[#This Row],[TIPO MOVIMENTAÇÃO]]="Aporte",_xlfn.XLOOKUP(tb_investimentos[[#This Row],[DESCRIÇÃO]],'INFO AÇÕES'!E:E,'INFO AÇÕES'!I:I),"BRL")</f>
        <v>BRL</v>
      </c>
      <c r="F132" s="75" t="s">
        <v>102</v>
      </c>
      <c r="G132" s="11">
        <v>1</v>
      </c>
      <c r="H132" s="12">
        <v>39.9</v>
      </c>
      <c r="I132" s="13" t="s">
        <v>107</v>
      </c>
      <c r="J132" s="51">
        <f t="shared" si="2"/>
        <v>39.9</v>
      </c>
      <c r="K132" s="13" t="s">
        <v>105</v>
      </c>
      <c r="L132">
        <f>MONTH(tb_investimentos[[#This Row],[DATA]])</f>
        <v>5</v>
      </c>
      <c r="M132">
        <f>YEAR(tb_investimentos[[#This Row],[DATA]])</f>
        <v>2027</v>
      </c>
      <c r="N132">
        <f>DAY(tb_investimentos[[#This Row],[DATA]])</f>
        <v>15</v>
      </c>
      <c r="O132">
        <f t="shared" si="3"/>
        <v>59.90000000000002</v>
      </c>
      <c r="P132">
        <f>tb_investimentos[[#This Row],[PREÇO MÉDIO PONDERADO]]*tb_investimentos[[#This Row],[QUANTIDADE]]</f>
        <v>59.90000000000002</v>
      </c>
      <c r="Q132" s="58" t="str">
        <f ca="1">IFERROR(_xlfn.XLOOKUP(tb_investimentos[[#This Row],[DESCRIÇÃO]],tb_acoes[Símbolo do ticker],tb_acoes[Preço]),"")</f>
        <v/>
      </c>
      <c r="R132" s="58" t="str">
        <f ca="1">IFERROR(tb_investimentos[[#This Row],[QUANTIDADE]]*tb_investimentos[[#This Row],[PREÇO MERCADO]],"")</f>
        <v/>
      </c>
      <c r="S132" s="58" t="str">
        <f ca="1">IFERROR(tb_investimentos[[#This Row],[VALOR TOTAL MERCADO]]-tb_investimentos[[#This Row],[VALOR TOTAL PONDERADO]],"")</f>
        <v/>
      </c>
      <c r="T132" s="58" t="str">
        <f ca="1">IFERROR(_xlfn.XLOOKUP(tb_investimentos[[#This Row],[DESCRIÇÃO]],'INFO AÇÕES'!E:E,'INFO AÇÕES'!H:H),"")</f>
        <v/>
      </c>
      <c r="U132" s="59" t="str">
        <f ca="1">IFERROR((tb_investimentos[[#This Row],[VALOR TOTAL MERCADO]]-tb_investimentos[[#This Row],[VALOR TOTAL PONDERADO]])/tb_investimentos[[#This Row],[VALOR TOTAL PONDERADO]],"")</f>
        <v/>
      </c>
    </row>
    <row r="133" spans="2:21" hidden="1" x14ac:dyDescent="0.2">
      <c r="B133" s="13" t="s">
        <v>77</v>
      </c>
      <c r="C133" s="72">
        <v>46522</v>
      </c>
      <c r="D133" s="9" t="s">
        <v>78</v>
      </c>
      <c r="E133" s="11" t="str">
        <f>IF(tb_investimentos[[#This Row],[TIPO MOVIMENTAÇÃO]]="Aporte",_xlfn.XLOOKUP(tb_investimentos[[#This Row],[DESCRIÇÃO]],'INFO AÇÕES'!E:E,'INFO AÇÕES'!I:I),"BRL")</f>
        <v>BRL</v>
      </c>
      <c r="F133" s="75" t="s">
        <v>101</v>
      </c>
      <c r="G133" s="11">
        <v>1</v>
      </c>
      <c r="H133" s="12">
        <v>79.900000000000006</v>
      </c>
      <c r="I133" s="13" t="s">
        <v>107</v>
      </c>
      <c r="J133" s="51">
        <f t="shared" ref="J133:J196" si="4">H133*G133</f>
        <v>79.900000000000006</v>
      </c>
      <c r="K133" s="13" t="s">
        <v>105</v>
      </c>
      <c r="L133">
        <f>MONTH(tb_investimentos[[#This Row],[DATA]])</f>
        <v>5</v>
      </c>
      <c r="M133">
        <f>YEAR(tb_investimentos[[#This Row],[DATA]])</f>
        <v>2027</v>
      </c>
      <c r="N133">
        <f>DAY(tb_investimentos[[#This Row],[DATA]])</f>
        <v>15</v>
      </c>
      <c r="O133">
        <f t="shared" ref="O133:O196" si="5">SUMIF($D$5:$D$10000, D133, $J$5:$J$10000) / SUMIF($D$5:$D$10000, D133, $G$5:$G$10000)</f>
        <v>59.90000000000002</v>
      </c>
      <c r="P133">
        <f>tb_investimentos[[#This Row],[PREÇO MÉDIO PONDERADO]]*tb_investimentos[[#This Row],[QUANTIDADE]]</f>
        <v>59.90000000000002</v>
      </c>
      <c r="Q133" s="58" t="str">
        <f ca="1">IFERROR(_xlfn.XLOOKUP(tb_investimentos[[#This Row],[DESCRIÇÃO]],tb_acoes[Símbolo do ticker],tb_acoes[Preço]),"")</f>
        <v/>
      </c>
      <c r="R133" s="58" t="str">
        <f ca="1">IFERROR(tb_investimentos[[#This Row],[QUANTIDADE]]*tb_investimentos[[#This Row],[PREÇO MERCADO]],"")</f>
        <v/>
      </c>
      <c r="S133" s="58" t="str">
        <f ca="1">IFERROR(tb_investimentos[[#This Row],[VALOR TOTAL MERCADO]]-tb_investimentos[[#This Row],[VALOR TOTAL PONDERADO]],"")</f>
        <v/>
      </c>
      <c r="T133" s="58" t="str">
        <f ca="1">IFERROR(_xlfn.XLOOKUP(tb_investimentos[[#This Row],[DESCRIÇÃO]],'INFO AÇÕES'!E:E,'INFO AÇÕES'!H:H),"")</f>
        <v/>
      </c>
      <c r="U133" s="59" t="str">
        <f ca="1">IFERROR((tb_investimentos[[#This Row],[VALOR TOTAL MERCADO]]-tb_investimentos[[#This Row],[VALOR TOTAL PONDERADO]])/tb_investimentos[[#This Row],[VALOR TOTAL PONDERADO]],"")</f>
        <v/>
      </c>
    </row>
    <row r="134" spans="2:21" hidden="1" x14ac:dyDescent="0.2">
      <c r="B134" s="13" t="s">
        <v>77</v>
      </c>
      <c r="C134" s="72">
        <v>46522</v>
      </c>
      <c r="D134" s="9" t="s">
        <v>79</v>
      </c>
      <c r="E134" s="11" t="str">
        <f>IF(tb_investimentos[[#This Row],[TIPO MOVIMENTAÇÃO]]="Aporte",_xlfn.XLOOKUP(tb_investimentos[[#This Row],[DESCRIÇÃO]],'INFO AÇÕES'!E:E,'INFO AÇÕES'!I:I),"BRL")</f>
        <v>BRL</v>
      </c>
      <c r="F134" s="75" t="s">
        <v>100</v>
      </c>
      <c r="G134" s="11">
        <v>1</v>
      </c>
      <c r="H134" s="12">
        <v>110</v>
      </c>
      <c r="I134" s="13" t="s">
        <v>107</v>
      </c>
      <c r="J134" s="51">
        <f t="shared" si="4"/>
        <v>110</v>
      </c>
      <c r="K134" s="13" t="s">
        <v>105</v>
      </c>
      <c r="L134">
        <f>MONTH(tb_investimentos[[#This Row],[DATA]])</f>
        <v>5</v>
      </c>
      <c r="M134">
        <f>YEAR(tb_investimentos[[#This Row],[DATA]])</f>
        <v>2027</v>
      </c>
      <c r="N134">
        <f>DAY(tb_investimentos[[#This Row],[DATA]])</f>
        <v>15</v>
      </c>
      <c r="O134">
        <f t="shared" si="5"/>
        <v>110</v>
      </c>
      <c r="P134">
        <f>tb_investimentos[[#This Row],[PREÇO MÉDIO PONDERADO]]*tb_investimentos[[#This Row],[QUANTIDADE]]</f>
        <v>110</v>
      </c>
      <c r="Q134" s="58" t="str">
        <f ca="1">IFERROR(_xlfn.XLOOKUP(tb_investimentos[[#This Row],[DESCRIÇÃO]],tb_acoes[Símbolo do ticker],tb_acoes[Preço]),"")</f>
        <v/>
      </c>
      <c r="R134" s="58" t="str">
        <f ca="1">IFERROR(tb_investimentos[[#This Row],[QUANTIDADE]]*tb_investimentos[[#This Row],[PREÇO MERCADO]],"")</f>
        <v/>
      </c>
      <c r="S134" s="58" t="str">
        <f ca="1">IFERROR(tb_investimentos[[#This Row],[VALOR TOTAL MERCADO]]-tb_investimentos[[#This Row],[VALOR TOTAL PONDERADO]],"")</f>
        <v/>
      </c>
      <c r="T134" s="58" t="str">
        <f ca="1">IFERROR(_xlfn.XLOOKUP(tb_investimentos[[#This Row],[DESCRIÇÃO]],'INFO AÇÕES'!E:E,'INFO AÇÕES'!H:H),"")</f>
        <v/>
      </c>
      <c r="U134" s="59" t="str">
        <f ca="1">IFERROR((tb_investimentos[[#This Row],[VALOR TOTAL MERCADO]]-tb_investimentos[[#This Row],[VALOR TOTAL PONDERADO]])/tb_investimentos[[#This Row],[VALOR TOTAL PONDERADO]],"")</f>
        <v/>
      </c>
    </row>
    <row r="135" spans="2:21" hidden="1" x14ac:dyDescent="0.2">
      <c r="B135" s="13" t="s">
        <v>77</v>
      </c>
      <c r="C135" s="10">
        <v>46522</v>
      </c>
      <c r="D135" s="9" t="s">
        <v>88</v>
      </c>
      <c r="E135" s="11" t="str">
        <f>IF(tb_investimentos[[#This Row],[TIPO MOVIMENTAÇÃO]]="Aporte",_xlfn.XLOOKUP(tb_investimentos[[#This Row],[DESCRIÇÃO]],'INFO AÇÕES'!E:E,'INFO AÇÕES'!I:I),"BRL")</f>
        <v>BRL</v>
      </c>
      <c r="F135" s="75" t="s">
        <v>91</v>
      </c>
      <c r="G135" s="11">
        <v>1</v>
      </c>
      <c r="H135" s="83">
        <v>1182.5241199999998</v>
      </c>
      <c r="I135" s="13" t="s">
        <v>107</v>
      </c>
      <c r="J135" s="51">
        <f t="shared" si="4"/>
        <v>1182.5241199999998</v>
      </c>
      <c r="K135" s="13" t="s">
        <v>105</v>
      </c>
      <c r="L135">
        <f>MONTH(tb_investimentos[[#This Row],[DATA]])</f>
        <v>5</v>
      </c>
      <c r="M135">
        <f>YEAR(tb_investimentos[[#This Row],[DATA]])</f>
        <v>2027</v>
      </c>
      <c r="N135">
        <f>DAY(tb_investimentos[[#This Row],[DATA]])</f>
        <v>15</v>
      </c>
      <c r="O135">
        <f t="shared" si="5"/>
        <v>1629.9930261538464</v>
      </c>
      <c r="P135">
        <f>tb_investimentos[[#This Row],[PREÇO MÉDIO PONDERADO]]*tb_investimentos[[#This Row],[QUANTIDADE]]</f>
        <v>1629.9930261538464</v>
      </c>
      <c r="Q135" s="58" t="str">
        <f ca="1">IFERROR(_xlfn.XLOOKUP(tb_investimentos[[#This Row],[DESCRIÇÃO]],tb_acoes[Símbolo do ticker],tb_acoes[Preço]),"")</f>
        <v/>
      </c>
      <c r="R135" s="58" t="str">
        <f ca="1">IFERROR(tb_investimentos[[#This Row],[QUANTIDADE]]*tb_investimentos[[#This Row],[PREÇO MERCADO]],"")</f>
        <v/>
      </c>
      <c r="S135" s="58" t="str">
        <f ca="1">IFERROR(tb_investimentos[[#This Row],[VALOR TOTAL MERCADO]]-tb_investimentos[[#This Row],[VALOR TOTAL PONDERADO]],"")</f>
        <v/>
      </c>
      <c r="T135" s="58" t="str">
        <f ca="1">IFERROR(_xlfn.XLOOKUP(tb_investimentos[[#This Row],[DESCRIÇÃO]],'INFO AÇÕES'!E:E,'INFO AÇÕES'!H:H),"")</f>
        <v/>
      </c>
      <c r="U135" s="59" t="str">
        <f ca="1">IFERROR((tb_investimentos[[#This Row],[VALOR TOTAL MERCADO]]-tb_investimentos[[#This Row],[VALOR TOTAL PONDERADO]])/tb_investimentos[[#This Row],[VALOR TOTAL PONDERADO]],"")</f>
        <v/>
      </c>
    </row>
    <row r="136" spans="2:21" hidden="1" x14ac:dyDescent="0.2">
      <c r="B136" s="13" t="s">
        <v>77</v>
      </c>
      <c r="C136" s="10">
        <v>46527</v>
      </c>
      <c r="D136" s="9" t="s">
        <v>94</v>
      </c>
      <c r="E136" s="11" t="str">
        <f>IF(tb_investimentos[[#This Row],[TIPO MOVIMENTAÇÃO]]="Aporte",_xlfn.XLOOKUP(tb_investimentos[[#This Row],[DESCRIÇÃO]],'INFO AÇÕES'!E:E,'INFO AÇÕES'!I:I),"BRL")</f>
        <v>BRL</v>
      </c>
      <c r="F136" s="75" t="s">
        <v>95</v>
      </c>
      <c r="G136" s="11">
        <v>1</v>
      </c>
      <c r="H136" s="12">
        <v>95</v>
      </c>
      <c r="I136" s="13" t="s">
        <v>107</v>
      </c>
      <c r="J136" s="51">
        <f t="shared" si="4"/>
        <v>95</v>
      </c>
      <c r="K136" s="13" t="s">
        <v>105</v>
      </c>
      <c r="L136">
        <f>MONTH(tb_investimentos[[#This Row],[DATA]])</f>
        <v>5</v>
      </c>
      <c r="M136">
        <f>YEAR(tb_investimentos[[#This Row],[DATA]])</f>
        <v>2027</v>
      </c>
      <c r="N136">
        <f>DAY(tb_investimentos[[#This Row],[DATA]])</f>
        <v>20</v>
      </c>
      <c r="O136">
        <f t="shared" si="5"/>
        <v>93.857142857142861</v>
      </c>
      <c r="P136">
        <f>tb_investimentos[[#This Row],[PREÇO MÉDIO PONDERADO]]*tb_investimentos[[#This Row],[QUANTIDADE]]</f>
        <v>93.857142857142861</v>
      </c>
      <c r="Q136" s="58" t="str">
        <f ca="1">IFERROR(_xlfn.XLOOKUP(tb_investimentos[[#This Row],[DESCRIÇÃO]],tb_acoes[Símbolo do ticker],tb_acoes[Preço]),"")</f>
        <v/>
      </c>
      <c r="R136" s="58" t="str">
        <f ca="1">IFERROR(tb_investimentos[[#This Row],[QUANTIDADE]]*tb_investimentos[[#This Row],[PREÇO MERCADO]],"")</f>
        <v/>
      </c>
      <c r="S136" s="58" t="str">
        <f ca="1">IFERROR(tb_investimentos[[#This Row],[VALOR TOTAL MERCADO]]-tb_investimentos[[#This Row],[VALOR TOTAL PONDERADO]],"")</f>
        <v/>
      </c>
      <c r="T136" s="58" t="str">
        <f ca="1">IFERROR(_xlfn.XLOOKUP(tb_investimentos[[#This Row],[DESCRIÇÃO]],'INFO AÇÕES'!E:E,'INFO AÇÕES'!H:H),"")</f>
        <v/>
      </c>
      <c r="U136" s="59" t="str">
        <f ca="1">IFERROR((tb_investimentos[[#This Row],[VALOR TOTAL MERCADO]]-tb_investimentos[[#This Row],[VALOR TOTAL PONDERADO]])/tb_investimentos[[#This Row],[VALOR TOTAL PONDERADO]],"")</f>
        <v/>
      </c>
    </row>
    <row r="137" spans="2:21" hidden="1" x14ac:dyDescent="0.2">
      <c r="B137" s="13" t="s">
        <v>77</v>
      </c>
      <c r="C137" s="10">
        <v>46531</v>
      </c>
      <c r="D137" s="9" t="s">
        <v>84</v>
      </c>
      <c r="E137" s="11" t="str">
        <f>IF(tb_investimentos[[#This Row],[TIPO MOVIMENTAÇÃO]]="Aporte",_xlfn.XLOOKUP(tb_investimentos[[#This Row],[DESCRIÇÃO]],'INFO AÇÕES'!E:E,'INFO AÇÕES'!I:I),"BRL")</f>
        <v>BRL</v>
      </c>
      <c r="F137" s="75" t="s">
        <v>83</v>
      </c>
      <c r="G137" s="11">
        <v>1</v>
      </c>
      <c r="H137" s="12">
        <v>650</v>
      </c>
      <c r="I137" s="13" t="s">
        <v>107</v>
      </c>
      <c r="J137" s="51">
        <f t="shared" si="4"/>
        <v>650</v>
      </c>
      <c r="K137" s="13" t="s">
        <v>105</v>
      </c>
      <c r="L137">
        <f>MONTH(tb_investimentos[[#This Row],[DATA]])</f>
        <v>5</v>
      </c>
      <c r="M137">
        <f>YEAR(tb_investimentos[[#This Row],[DATA]])</f>
        <v>2027</v>
      </c>
      <c r="N137">
        <f>DAY(tb_investimentos[[#This Row],[DATA]])</f>
        <v>24</v>
      </c>
      <c r="O137">
        <f t="shared" si="5"/>
        <v>650</v>
      </c>
      <c r="P137">
        <f>tb_investimentos[[#This Row],[PREÇO MÉDIO PONDERADO]]*tb_investimentos[[#This Row],[QUANTIDADE]]</f>
        <v>650</v>
      </c>
      <c r="Q137" s="58" t="str">
        <f ca="1">IFERROR(_xlfn.XLOOKUP(tb_investimentos[[#This Row],[DESCRIÇÃO]],tb_acoes[Símbolo do ticker],tb_acoes[Preço]),"")</f>
        <v/>
      </c>
      <c r="R137" s="58" t="str">
        <f ca="1">IFERROR(tb_investimentos[[#This Row],[QUANTIDADE]]*tb_investimentos[[#This Row],[PREÇO MERCADO]],"")</f>
        <v/>
      </c>
      <c r="S137" s="58" t="str">
        <f ca="1">IFERROR(tb_investimentos[[#This Row],[VALOR TOTAL MERCADO]]-tb_investimentos[[#This Row],[VALOR TOTAL PONDERADO]],"")</f>
        <v/>
      </c>
      <c r="T137" s="58" t="str">
        <f ca="1">IFERROR(_xlfn.XLOOKUP(tb_investimentos[[#This Row],[DESCRIÇÃO]],'INFO AÇÕES'!E:E,'INFO AÇÕES'!H:H),"")</f>
        <v/>
      </c>
      <c r="U137" s="59" t="str">
        <f ca="1">IFERROR((tb_investimentos[[#This Row],[VALOR TOTAL MERCADO]]-tb_investimentos[[#This Row],[VALOR TOTAL PONDERADO]])/tb_investimentos[[#This Row],[VALOR TOTAL PONDERADO]],"")</f>
        <v/>
      </c>
    </row>
    <row r="138" spans="2:21" hidden="1" x14ac:dyDescent="0.2">
      <c r="B138" s="13" t="s">
        <v>77</v>
      </c>
      <c r="C138" s="10">
        <v>46535</v>
      </c>
      <c r="D138" s="9" t="s">
        <v>82</v>
      </c>
      <c r="E138" s="11" t="str">
        <f>IF(tb_investimentos[[#This Row],[TIPO MOVIMENTAÇÃO]]="Aporte",_xlfn.XLOOKUP(tb_investimentos[[#This Row],[DESCRIÇÃO]],'INFO AÇÕES'!E:E,'INFO AÇÕES'!I:I),"BRL")</f>
        <v>BRL</v>
      </c>
      <c r="F138" s="75" t="s">
        <v>81</v>
      </c>
      <c r="G138" s="11">
        <v>1</v>
      </c>
      <c r="H138" s="12">
        <v>650</v>
      </c>
      <c r="I138" s="13" t="s">
        <v>107</v>
      </c>
      <c r="J138" s="51">
        <f t="shared" si="4"/>
        <v>650</v>
      </c>
      <c r="K138" s="13" t="s">
        <v>105</v>
      </c>
      <c r="L138">
        <f>MONTH(tb_investimentos[[#This Row],[DATA]])</f>
        <v>5</v>
      </c>
      <c r="M138">
        <f>YEAR(tb_investimentos[[#This Row],[DATA]])</f>
        <v>2027</v>
      </c>
      <c r="N138">
        <f>DAY(tb_investimentos[[#This Row],[DATA]])</f>
        <v>28</v>
      </c>
      <c r="O138">
        <f t="shared" si="5"/>
        <v>650</v>
      </c>
      <c r="P138">
        <f>tb_investimentos[[#This Row],[PREÇO MÉDIO PONDERADO]]*tb_investimentos[[#This Row],[QUANTIDADE]]</f>
        <v>650</v>
      </c>
      <c r="Q138" s="58" t="str">
        <f ca="1">IFERROR(_xlfn.XLOOKUP(tb_investimentos[[#This Row],[DESCRIÇÃO]],tb_acoes[Símbolo do ticker],tb_acoes[Preço]),"")</f>
        <v/>
      </c>
      <c r="R138" s="58" t="str">
        <f ca="1">IFERROR(tb_investimentos[[#This Row],[QUANTIDADE]]*tb_investimentos[[#This Row],[PREÇO MERCADO]],"")</f>
        <v/>
      </c>
      <c r="S138" s="58" t="str">
        <f ca="1">IFERROR(tb_investimentos[[#This Row],[VALOR TOTAL MERCADO]]-tb_investimentos[[#This Row],[VALOR TOTAL PONDERADO]],"")</f>
        <v/>
      </c>
      <c r="T138" s="58" t="str">
        <f ca="1">IFERROR(_xlfn.XLOOKUP(tb_investimentos[[#This Row],[DESCRIÇÃO]],'INFO AÇÕES'!E:E,'INFO AÇÕES'!H:H),"")</f>
        <v/>
      </c>
      <c r="U138" s="59" t="str">
        <f ca="1">IFERROR((tb_investimentos[[#This Row],[VALOR TOTAL MERCADO]]-tb_investimentos[[#This Row],[VALOR TOTAL PONDERADO]])/tb_investimentos[[#This Row],[VALOR TOTAL PONDERADO]],"")</f>
        <v/>
      </c>
    </row>
    <row r="139" spans="2:21" hidden="1" x14ac:dyDescent="0.2">
      <c r="B139" s="13" t="s">
        <v>72</v>
      </c>
      <c r="C139" s="72">
        <v>46543</v>
      </c>
      <c r="D139" s="9" t="s">
        <v>76</v>
      </c>
      <c r="E139" s="11" t="str">
        <f>IF(tb_investimentos[[#This Row],[TIPO MOVIMENTAÇÃO]]="Aporte",_xlfn.XLOOKUP(tb_investimentos[[#This Row],[DESCRIÇÃO]],'INFO AÇÕES'!E:E,'INFO AÇÕES'!I:I),"BRL")</f>
        <v>BRL</v>
      </c>
      <c r="F139" s="75" t="s">
        <v>73</v>
      </c>
      <c r="G139" s="11">
        <v>1</v>
      </c>
      <c r="H139" s="12">
        <v>8000</v>
      </c>
      <c r="I139" s="13" t="s">
        <v>107</v>
      </c>
      <c r="J139" s="51">
        <f t="shared" si="4"/>
        <v>8000</v>
      </c>
      <c r="K139" s="13" t="s">
        <v>105</v>
      </c>
      <c r="L139">
        <f>MONTH(tb_investimentos[[#This Row],[DATA]])</f>
        <v>6</v>
      </c>
      <c r="M139">
        <f>YEAR(tb_investimentos[[#This Row],[DATA]])</f>
        <v>2027</v>
      </c>
      <c r="N139">
        <f>DAY(tb_investimentos[[#This Row],[DATA]])</f>
        <v>5</v>
      </c>
      <c r="O139">
        <f t="shared" si="5"/>
        <v>7801.7948717948721</v>
      </c>
      <c r="P139">
        <f>tb_investimentos[[#This Row],[PREÇO MÉDIO PONDERADO]]*tb_investimentos[[#This Row],[QUANTIDADE]]</f>
        <v>7801.7948717948721</v>
      </c>
      <c r="Q139" s="58" t="str">
        <f ca="1">IFERROR(_xlfn.XLOOKUP(tb_investimentos[[#This Row],[DESCRIÇÃO]],tb_acoes[Símbolo do ticker],tb_acoes[Preço]),"")</f>
        <v/>
      </c>
      <c r="R139" s="58" t="str">
        <f ca="1">IFERROR(tb_investimentos[[#This Row],[QUANTIDADE]]*tb_investimentos[[#This Row],[PREÇO MERCADO]],"")</f>
        <v/>
      </c>
      <c r="S139" s="58" t="str">
        <f ca="1">IFERROR(tb_investimentos[[#This Row],[VALOR TOTAL MERCADO]]-tb_investimentos[[#This Row],[VALOR TOTAL PONDERADO]],"")</f>
        <v/>
      </c>
      <c r="T139" s="58" t="str">
        <f ca="1">IFERROR(_xlfn.XLOOKUP(tb_investimentos[[#This Row],[DESCRIÇÃO]],'INFO AÇÕES'!E:E,'INFO AÇÕES'!H:H),"")</f>
        <v/>
      </c>
      <c r="U139" s="59" t="str">
        <f ca="1">IFERROR((tb_investimentos[[#This Row],[VALOR TOTAL MERCADO]]-tb_investimentos[[#This Row],[VALOR TOTAL PONDERADO]])/tb_investimentos[[#This Row],[VALOR TOTAL PONDERADO]],"")</f>
        <v/>
      </c>
    </row>
    <row r="140" spans="2:21" hidden="1" x14ac:dyDescent="0.2">
      <c r="B140" s="13" t="s">
        <v>72</v>
      </c>
      <c r="C140" s="10">
        <v>46543</v>
      </c>
      <c r="D140" s="9" t="s">
        <v>75</v>
      </c>
      <c r="E140" s="11" t="str">
        <f>IF(tb_investimentos[[#This Row],[TIPO MOVIMENTAÇÃO]]="Aporte",_xlfn.XLOOKUP(tb_investimentos[[#This Row],[DESCRIÇÃO]],'INFO AÇÕES'!E:E,'INFO AÇÕES'!I:I),"BRL")</f>
        <v>BRL</v>
      </c>
      <c r="F140" s="75" t="s">
        <v>74</v>
      </c>
      <c r="G140" s="11">
        <v>1</v>
      </c>
      <c r="H140" s="12">
        <v>700</v>
      </c>
      <c r="I140" s="13" t="s">
        <v>107</v>
      </c>
      <c r="J140" s="51">
        <f t="shared" si="4"/>
        <v>700</v>
      </c>
      <c r="K140" s="13" t="s">
        <v>105</v>
      </c>
      <c r="L140">
        <f>MONTH(tb_investimentos[[#This Row],[DATA]])</f>
        <v>6</v>
      </c>
      <c r="M140">
        <f>YEAR(tb_investimentos[[#This Row],[DATA]])</f>
        <v>2027</v>
      </c>
      <c r="N140">
        <f>DAY(tb_investimentos[[#This Row],[DATA]])</f>
        <v>5</v>
      </c>
      <c r="O140">
        <f t="shared" si="5"/>
        <v>770</v>
      </c>
      <c r="P140">
        <f>tb_investimentos[[#This Row],[PREÇO MÉDIO PONDERADO]]*tb_investimentos[[#This Row],[QUANTIDADE]]</f>
        <v>770</v>
      </c>
      <c r="Q140" s="58" t="str">
        <f ca="1">IFERROR(_xlfn.XLOOKUP(tb_investimentos[[#This Row],[DESCRIÇÃO]],tb_acoes[Símbolo do ticker],tb_acoes[Preço]),"")</f>
        <v/>
      </c>
      <c r="R140" s="58" t="str">
        <f ca="1">IFERROR(tb_investimentos[[#This Row],[QUANTIDADE]]*tb_investimentos[[#This Row],[PREÇO MERCADO]],"")</f>
        <v/>
      </c>
      <c r="S140" s="58" t="str">
        <f ca="1">IFERROR(tb_investimentos[[#This Row],[VALOR TOTAL MERCADO]]-tb_investimentos[[#This Row],[VALOR TOTAL PONDERADO]],"")</f>
        <v/>
      </c>
      <c r="T140" s="58" t="str">
        <f ca="1">IFERROR(_xlfn.XLOOKUP(tb_investimentos[[#This Row],[DESCRIÇÃO]],'INFO AÇÕES'!E:E,'INFO AÇÕES'!H:H),"")</f>
        <v/>
      </c>
      <c r="U140" s="59" t="str">
        <f ca="1">IFERROR((tb_investimentos[[#This Row],[VALOR TOTAL MERCADO]]-tb_investimentos[[#This Row],[VALOR TOTAL PONDERADO]])/tb_investimentos[[#This Row],[VALOR TOTAL PONDERADO]],"")</f>
        <v/>
      </c>
    </row>
    <row r="141" spans="2:21" hidden="1" x14ac:dyDescent="0.2">
      <c r="B141" s="13" t="s">
        <v>39</v>
      </c>
      <c r="C141" s="10">
        <v>46543</v>
      </c>
      <c r="D141" s="9"/>
      <c r="E141" s="11">
        <f ca="1">IF(tb_investimentos[[#This Row],[TIPO MOVIMENTAÇÃO]]="Aporte",_xlfn.XLOOKUP(tb_investimentos[[#This Row],[DESCRIÇÃO]],'INFO AÇÕES'!E:E,'INFO AÇÕES'!I:I),"BRL")</f>
        <v>0</v>
      </c>
      <c r="F141" s="73" t="s">
        <v>10</v>
      </c>
      <c r="G141" s="11">
        <v>1</v>
      </c>
      <c r="H141" s="12">
        <v>2500</v>
      </c>
      <c r="I141" s="13" t="s">
        <v>58</v>
      </c>
      <c r="J141" s="51">
        <f t="shared" si="4"/>
        <v>2500</v>
      </c>
      <c r="K141" s="11" t="s">
        <v>105</v>
      </c>
      <c r="L141">
        <f>MONTH(tb_investimentos[[#This Row],[DATA]])</f>
        <v>6</v>
      </c>
      <c r="M141">
        <f>YEAR(tb_investimentos[[#This Row],[DATA]])</f>
        <v>2027</v>
      </c>
      <c r="N141">
        <f>DAY(tb_investimentos[[#This Row],[DATA]])</f>
        <v>5</v>
      </c>
      <c r="O141" t="e">
        <f t="shared" si="5"/>
        <v>#DIV/0!</v>
      </c>
      <c r="P141" t="e">
        <f>tb_investimentos[[#This Row],[PREÇO MÉDIO PONDERADO]]*tb_investimentos[[#This Row],[QUANTIDADE]]</f>
        <v>#DIV/0!</v>
      </c>
      <c r="Q141" s="58" t="str">
        <f ca="1">IFERROR(_xlfn.XLOOKUP(tb_investimentos[[#This Row],[DESCRIÇÃO]],tb_acoes[Símbolo do ticker],tb_acoes[Preço]),"")</f>
        <v/>
      </c>
      <c r="R141" s="58" t="str">
        <f ca="1">IFERROR(tb_investimentos[[#This Row],[QUANTIDADE]]*tb_investimentos[[#This Row],[PREÇO MERCADO]],"")</f>
        <v/>
      </c>
      <c r="S141" s="58" t="str">
        <f ca="1">IFERROR(tb_investimentos[[#This Row],[VALOR TOTAL MERCADO]]-tb_investimentos[[#This Row],[VALOR TOTAL PONDERADO]],"")</f>
        <v/>
      </c>
      <c r="T141" s="58" t="str">
        <f ca="1">IFERROR(_xlfn.XLOOKUP(tb_investimentos[[#This Row],[DESCRIÇÃO]],'INFO AÇÕES'!E:E,'INFO AÇÕES'!H:H),"")</f>
        <v/>
      </c>
      <c r="U141" s="59" t="str">
        <f ca="1">IFERROR((tb_investimentos[[#This Row],[VALOR TOTAL MERCADO]]-tb_investimentos[[#This Row],[VALOR TOTAL PONDERADO]])/tb_investimentos[[#This Row],[VALOR TOTAL PONDERADO]],"")</f>
        <v/>
      </c>
    </row>
    <row r="142" spans="2:21" hidden="1" x14ac:dyDescent="0.2">
      <c r="B142" s="13" t="s">
        <v>77</v>
      </c>
      <c r="C142" s="10">
        <v>46544</v>
      </c>
      <c r="D142" s="9" t="s">
        <v>92</v>
      </c>
      <c r="E142" s="11" t="str">
        <f>IF(tb_investimentos[[#This Row],[TIPO MOVIMENTAÇÃO]]="Aporte",_xlfn.XLOOKUP(tb_investimentos[[#This Row],[DESCRIÇÃO]],'INFO AÇÕES'!E:E,'INFO AÇÕES'!I:I),"BRL")</f>
        <v>BRL</v>
      </c>
      <c r="F142" s="75" t="s">
        <v>93</v>
      </c>
      <c r="G142" s="11">
        <v>1</v>
      </c>
      <c r="H142" s="12">
        <v>205</v>
      </c>
      <c r="I142" s="13" t="s">
        <v>107</v>
      </c>
      <c r="J142" s="51">
        <f t="shared" si="4"/>
        <v>205</v>
      </c>
      <c r="K142" s="13" t="s">
        <v>105</v>
      </c>
      <c r="L142">
        <f>MONTH(tb_investimentos[[#This Row],[DATA]])</f>
        <v>6</v>
      </c>
      <c r="M142">
        <f>YEAR(tb_investimentos[[#This Row],[DATA]])</f>
        <v>2027</v>
      </c>
      <c r="N142">
        <f>DAY(tb_investimentos[[#This Row],[DATA]])</f>
        <v>6</v>
      </c>
      <c r="O142">
        <f t="shared" si="5"/>
        <v>205</v>
      </c>
      <c r="P142">
        <f>tb_investimentos[[#This Row],[PREÇO MÉDIO PONDERADO]]*tb_investimentos[[#This Row],[QUANTIDADE]]</f>
        <v>205</v>
      </c>
      <c r="Q142" s="58" t="str">
        <f ca="1">IFERROR(_xlfn.XLOOKUP(tb_investimentos[[#This Row],[DESCRIÇÃO]],tb_acoes[Símbolo do ticker],tb_acoes[Preço]),"")</f>
        <v/>
      </c>
      <c r="R142" s="58" t="str">
        <f ca="1">IFERROR(tb_investimentos[[#This Row],[QUANTIDADE]]*tb_investimentos[[#This Row],[PREÇO MERCADO]],"")</f>
        <v/>
      </c>
      <c r="S142" s="58" t="str">
        <f ca="1">IFERROR(tb_investimentos[[#This Row],[VALOR TOTAL MERCADO]]-tb_investimentos[[#This Row],[VALOR TOTAL PONDERADO]],"")</f>
        <v/>
      </c>
      <c r="T142" s="58" t="str">
        <f ca="1">IFERROR(_xlfn.XLOOKUP(tb_investimentos[[#This Row],[DESCRIÇÃO]],'INFO AÇÕES'!E:E,'INFO AÇÕES'!H:H),"")</f>
        <v/>
      </c>
      <c r="U142" s="59" t="str">
        <f ca="1">IFERROR((tb_investimentos[[#This Row],[VALOR TOTAL MERCADO]]-tb_investimentos[[#This Row],[VALOR TOTAL PONDERADO]])/tb_investimentos[[#This Row],[VALOR TOTAL PONDERADO]],"")</f>
        <v/>
      </c>
    </row>
    <row r="143" spans="2:21" hidden="1" x14ac:dyDescent="0.2">
      <c r="B143" s="13" t="s">
        <v>77</v>
      </c>
      <c r="C143" s="10">
        <v>46544</v>
      </c>
      <c r="D143" s="9" t="s">
        <v>107</v>
      </c>
      <c r="E143" s="11" t="str">
        <f>IF(tb_investimentos[[#This Row],[TIPO MOVIMENTAÇÃO]]="Aporte",_xlfn.XLOOKUP(tb_investimentos[[#This Row],[DESCRIÇÃO]],'INFO AÇÕES'!E:E,'INFO AÇÕES'!I:I),"BRL")</f>
        <v>BRL</v>
      </c>
      <c r="F143" s="75" t="s">
        <v>106</v>
      </c>
      <c r="G143" s="11">
        <v>1</v>
      </c>
      <c r="H143" s="12">
        <v>500</v>
      </c>
      <c r="I143" s="13" t="s">
        <v>107</v>
      </c>
      <c r="J143" s="51">
        <f t="shared" si="4"/>
        <v>500</v>
      </c>
      <c r="K143" s="13" t="s">
        <v>105</v>
      </c>
      <c r="L143">
        <f>MONTH(tb_investimentos[[#This Row],[DATA]])</f>
        <v>6</v>
      </c>
      <c r="M143">
        <f>YEAR(tb_investimentos[[#This Row],[DATA]])</f>
        <v>2027</v>
      </c>
      <c r="N143">
        <f>DAY(tb_investimentos[[#This Row],[DATA]])</f>
        <v>6</v>
      </c>
      <c r="O143">
        <f t="shared" si="5"/>
        <v>515.93333333333328</v>
      </c>
      <c r="P143">
        <f>tb_investimentos[[#This Row],[PREÇO MÉDIO PONDERADO]]*tb_investimentos[[#This Row],[QUANTIDADE]]</f>
        <v>515.93333333333328</v>
      </c>
      <c r="Q143" s="58" t="str">
        <f ca="1">IFERROR(_xlfn.XLOOKUP(tb_investimentos[[#This Row],[DESCRIÇÃO]],tb_acoes[Símbolo do ticker],tb_acoes[Preço]),"")</f>
        <v/>
      </c>
      <c r="R143" s="58" t="str">
        <f ca="1">IFERROR(tb_investimentos[[#This Row],[QUANTIDADE]]*tb_investimentos[[#This Row],[PREÇO MERCADO]],"")</f>
        <v/>
      </c>
      <c r="S143" s="58" t="str">
        <f ca="1">IFERROR(tb_investimentos[[#This Row],[VALOR TOTAL MERCADO]]-tb_investimentos[[#This Row],[VALOR TOTAL PONDERADO]],"")</f>
        <v/>
      </c>
      <c r="T143" s="58" t="str">
        <f ca="1">IFERROR(_xlfn.XLOOKUP(tb_investimentos[[#This Row],[DESCRIÇÃO]],'INFO AÇÕES'!E:E,'INFO AÇÕES'!H:H),"")</f>
        <v/>
      </c>
      <c r="U143" s="59" t="str">
        <f ca="1">IFERROR((tb_investimentos[[#This Row],[VALOR TOTAL MERCADO]]-tb_investimentos[[#This Row],[VALOR TOTAL PONDERADO]])/tb_investimentos[[#This Row],[VALOR TOTAL PONDERADO]],"")</f>
        <v/>
      </c>
    </row>
    <row r="144" spans="2:21" hidden="1" x14ac:dyDescent="0.2">
      <c r="B144" s="13" t="s">
        <v>77</v>
      </c>
      <c r="C144" s="10">
        <v>46546</v>
      </c>
      <c r="D144" s="9" t="s">
        <v>80</v>
      </c>
      <c r="E144" s="11" t="str">
        <f>IF(tb_investimentos[[#This Row],[TIPO MOVIMENTAÇÃO]]="Aporte",_xlfn.XLOOKUP(tb_investimentos[[#This Row],[DESCRIÇÃO]],'INFO AÇÕES'!E:E,'INFO AÇÕES'!I:I),"BRL")</f>
        <v>BRL</v>
      </c>
      <c r="F144" s="75" t="s">
        <v>99</v>
      </c>
      <c r="G144" s="11">
        <v>1</v>
      </c>
      <c r="H144" s="12">
        <v>25</v>
      </c>
      <c r="I144" s="13" t="s">
        <v>107</v>
      </c>
      <c r="J144" s="51">
        <f t="shared" si="4"/>
        <v>25</v>
      </c>
      <c r="K144" s="13" t="s">
        <v>105</v>
      </c>
      <c r="L144">
        <f>MONTH(tb_investimentos[[#This Row],[DATA]])</f>
        <v>6</v>
      </c>
      <c r="M144">
        <f>YEAR(tb_investimentos[[#This Row],[DATA]])</f>
        <v>2027</v>
      </c>
      <c r="N144">
        <f>DAY(tb_investimentos[[#This Row],[DATA]])</f>
        <v>8</v>
      </c>
      <c r="O144">
        <f t="shared" si="5"/>
        <v>25</v>
      </c>
      <c r="P144">
        <f>tb_investimentos[[#This Row],[PREÇO MÉDIO PONDERADO]]*tb_investimentos[[#This Row],[QUANTIDADE]]</f>
        <v>25</v>
      </c>
      <c r="Q144" s="58" t="str">
        <f ca="1">IFERROR(_xlfn.XLOOKUP(tb_investimentos[[#This Row],[DESCRIÇÃO]],tb_acoes[Símbolo do ticker],tb_acoes[Preço]),"")</f>
        <v/>
      </c>
      <c r="R144" s="58" t="str">
        <f ca="1">IFERROR(tb_investimentos[[#This Row],[QUANTIDADE]]*tb_investimentos[[#This Row],[PREÇO MERCADO]],"")</f>
        <v/>
      </c>
      <c r="S144" s="58" t="str">
        <f ca="1">IFERROR(tb_investimentos[[#This Row],[VALOR TOTAL MERCADO]]-tb_investimentos[[#This Row],[VALOR TOTAL PONDERADO]],"")</f>
        <v/>
      </c>
      <c r="T144" s="58" t="str">
        <f ca="1">IFERROR(_xlfn.XLOOKUP(tb_investimentos[[#This Row],[DESCRIÇÃO]],'INFO AÇÕES'!E:E,'INFO AÇÕES'!H:H),"")</f>
        <v/>
      </c>
      <c r="U144" s="59" t="str">
        <f ca="1">IFERROR((tb_investimentos[[#This Row],[VALOR TOTAL MERCADO]]-tb_investimentos[[#This Row],[VALOR TOTAL PONDERADO]])/tb_investimentos[[#This Row],[VALOR TOTAL PONDERADO]],"")</f>
        <v/>
      </c>
    </row>
    <row r="145" spans="2:21" hidden="1" x14ac:dyDescent="0.2">
      <c r="B145" s="13" t="s">
        <v>77</v>
      </c>
      <c r="C145" s="10">
        <v>46548</v>
      </c>
      <c r="D145" s="9" t="s">
        <v>85</v>
      </c>
      <c r="E145" s="11" t="str">
        <f>IF(tb_investimentos[[#This Row],[TIPO MOVIMENTAÇÃO]]="Aporte",_xlfn.XLOOKUP(tb_investimentos[[#This Row],[DESCRIÇÃO]],'INFO AÇÕES'!E:E,'INFO AÇÕES'!I:I),"BRL")</f>
        <v>BRL</v>
      </c>
      <c r="F145" s="75" t="s">
        <v>104</v>
      </c>
      <c r="G145" s="11">
        <v>1</v>
      </c>
      <c r="H145" s="12">
        <v>95</v>
      </c>
      <c r="I145" s="13" t="s">
        <v>107</v>
      </c>
      <c r="J145" s="51">
        <f t="shared" si="4"/>
        <v>95</v>
      </c>
      <c r="K145" s="13" t="s">
        <v>105</v>
      </c>
      <c r="L145">
        <f>MONTH(tb_investimentos[[#This Row],[DATA]])</f>
        <v>6</v>
      </c>
      <c r="M145">
        <f>YEAR(tb_investimentos[[#This Row],[DATA]])</f>
        <v>2027</v>
      </c>
      <c r="N145">
        <f>DAY(tb_investimentos[[#This Row],[DATA]])</f>
        <v>10</v>
      </c>
      <c r="O145">
        <f t="shared" si="5"/>
        <v>95</v>
      </c>
      <c r="P145">
        <f>tb_investimentos[[#This Row],[PREÇO MÉDIO PONDERADO]]*tb_investimentos[[#This Row],[QUANTIDADE]]</f>
        <v>95</v>
      </c>
      <c r="Q145" s="58" t="str">
        <f ca="1">IFERROR(_xlfn.XLOOKUP(tb_investimentos[[#This Row],[DESCRIÇÃO]],tb_acoes[Símbolo do ticker],tb_acoes[Preço]),"")</f>
        <v/>
      </c>
      <c r="R145" s="58" t="str">
        <f ca="1">IFERROR(tb_investimentos[[#This Row],[QUANTIDADE]]*tb_investimentos[[#This Row],[PREÇO MERCADO]],"")</f>
        <v/>
      </c>
      <c r="S145" s="58" t="str">
        <f ca="1">IFERROR(tb_investimentos[[#This Row],[VALOR TOTAL MERCADO]]-tb_investimentos[[#This Row],[VALOR TOTAL PONDERADO]],"")</f>
        <v/>
      </c>
      <c r="T145" s="58" t="str">
        <f ca="1">IFERROR(_xlfn.XLOOKUP(tb_investimentos[[#This Row],[DESCRIÇÃO]],'INFO AÇÕES'!E:E,'INFO AÇÕES'!H:H),"")</f>
        <v/>
      </c>
      <c r="U145" s="59" t="str">
        <f ca="1">IFERROR((tb_investimentos[[#This Row],[VALOR TOTAL MERCADO]]-tb_investimentos[[#This Row],[VALOR TOTAL PONDERADO]])/tb_investimentos[[#This Row],[VALOR TOTAL PONDERADO]],"")</f>
        <v/>
      </c>
    </row>
    <row r="146" spans="2:21" hidden="1" x14ac:dyDescent="0.2">
      <c r="B146" s="13" t="s">
        <v>77</v>
      </c>
      <c r="C146" s="10">
        <v>46550</v>
      </c>
      <c r="D146" s="9" t="s">
        <v>89</v>
      </c>
      <c r="E146" s="11" t="str">
        <f>IF(tb_investimentos[[#This Row],[TIPO MOVIMENTAÇÃO]]="Aporte",_xlfn.XLOOKUP(tb_investimentos[[#This Row],[DESCRIÇÃO]],'INFO AÇÕES'!E:E,'INFO AÇÕES'!I:I),"BRL")</f>
        <v>BRL</v>
      </c>
      <c r="F146" s="75" t="s">
        <v>90</v>
      </c>
      <c r="G146" s="11">
        <v>1</v>
      </c>
      <c r="H146" s="12">
        <v>16.899999999999999</v>
      </c>
      <c r="I146" s="13" t="s">
        <v>107</v>
      </c>
      <c r="J146" s="51">
        <f t="shared" si="4"/>
        <v>16.899999999999999</v>
      </c>
      <c r="K146" s="13" t="s">
        <v>105</v>
      </c>
      <c r="L146">
        <f>MONTH(tb_investimentos[[#This Row],[DATA]])</f>
        <v>6</v>
      </c>
      <c r="M146">
        <f>YEAR(tb_investimentos[[#This Row],[DATA]])</f>
        <v>2027</v>
      </c>
      <c r="N146">
        <f>DAY(tb_investimentos[[#This Row],[DATA]])</f>
        <v>12</v>
      </c>
      <c r="O146">
        <f t="shared" si="5"/>
        <v>137.33453714285722</v>
      </c>
      <c r="P146">
        <f>tb_investimentos[[#This Row],[PREÇO MÉDIO PONDERADO]]*tb_investimentos[[#This Row],[QUANTIDADE]]</f>
        <v>137.33453714285722</v>
      </c>
      <c r="Q146" s="58" t="str">
        <f ca="1">IFERROR(_xlfn.XLOOKUP(tb_investimentos[[#This Row],[DESCRIÇÃO]],tb_acoes[Símbolo do ticker],tb_acoes[Preço]),"")</f>
        <v/>
      </c>
      <c r="R146" s="58" t="str">
        <f ca="1">IFERROR(tb_investimentos[[#This Row],[QUANTIDADE]]*tb_investimentos[[#This Row],[PREÇO MERCADO]],"")</f>
        <v/>
      </c>
      <c r="S146" s="58" t="str">
        <f ca="1">IFERROR(tb_investimentos[[#This Row],[VALOR TOTAL MERCADO]]-tb_investimentos[[#This Row],[VALOR TOTAL PONDERADO]],"")</f>
        <v/>
      </c>
      <c r="T146" s="58" t="str">
        <f ca="1">IFERROR(_xlfn.XLOOKUP(tb_investimentos[[#This Row],[DESCRIÇÃO]],'INFO AÇÕES'!E:E,'INFO AÇÕES'!H:H),"")</f>
        <v/>
      </c>
      <c r="U146" s="59" t="str">
        <f ca="1">IFERROR((tb_investimentos[[#This Row],[VALOR TOTAL MERCADO]]-tb_investimentos[[#This Row],[VALOR TOTAL PONDERADO]])/tb_investimentos[[#This Row],[VALOR TOTAL PONDERADO]],"")</f>
        <v/>
      </c>
    </row>
    <row r="147" spans="2:21" hidden="1" x14ac:dyDescent="0.2">
      <c r="B147" s="13" t="s">
        <v>77</v>
      </c>
      <c r="C147" s="72">
        <v>46553</v>
      </c>
      <c r="D147" s="9" t="s">
        <v>78</v>
      </c>
      <c r="E147" s="11" t="str">
        <f>IF(tb_investimentos[[#This Row],[TIPO MOVIMENTAÇÃO]]="Aporte",_xlfn.XLOOKUP(tb_investimentos[[#This Row],[DESCRIÇÃO]],'INFO AÇÕES'!E:E,'INFO AÇÕES'!I:I),"BRL")</f>
        <v>BRL</v>
      </c>
      <c r="F147" s="75" t="s">
        <v>102</v>
      </c>
      <c r="G147" s="11">
        <v>1</v>
      </c>
      <c r="H147" s="12">
        <v>39.9</v>
      </c>
      <c r="I147" s="13" t="s">
        <v>107</v>
      </c>
      <c r="J147" s="51">
        <f t="shared" si="4"/>
        <v>39.9</v>
      </c>
      <c r="K147" s="13" t="s">
        <v>105</v>
      </c>
      <c r="L147">
        <f>MONTH(tb_investimentos[[#This Row],[DATA]])</f>
        <v>6</v>
      </c>
      <c r="M147">
        <f>YEAR(tb_investimentos[[#This Row],[DATA]])</f>
        <v>2027</v>
      </c>
      <c r="N147">
        <f>DAY(tb_investimentos[[#This Row],[DATA]])</f>
        <v>15</v>
      </c>
      <c r="O147">
        <f t="shared" si="5"/>
        <v>59.90000000000002</v>
      </c>
      <c r="P147">
        <f>tb_investimentos[[#This Row],[PREÇO MÉDIO PONDERADO]]*tb_investimentos[[#This Row],[QUANTIDADE]]</f>
        <v>59.90000000000002</v>
      </c>
      <c r="Q147" s="58" t="str">
        <f ca="1">IFERROR(_xlfn.XLOOKUP(tb_investimentos[[#This Row],[DESCRIÇÃO]],tb_acoes[Símbolo do ticker],tb_acoes[Preço]),"")</f>
        <v/>
      </c>
      <c r="R147" s="58" t="str">
        <f ca="1">IFERROR(tb_investimentos[[#This Row],[QUANTIDADE]]*tb_investimentos[[#This Row],[PREÇO MERCADO]],"")</f>
        <v/>
      </c>
      <c r="S147" s="58" t="str">
        <f ca="1">IFERROR(tb_investimentos[[#This Row],[VALOR TOTAL MERCADO]]-tb_investimentos[[#This Row],[VALOR TOTAL PONDERADO]],"")</f>
        <v/>
      </c>
      <c r="T147" s="58" t="str">
        <f ca="1">IFERROR(_xlfn.XLOOKUP(tb_investimentos[[#This Row],[DESCRIÇÃO]],'INFO AÇÕES'!E:E,'INFO AÇÕES'!H:H),"")</f>
        <v/>
      </c>
      <c r="U147" s="59" t="str">
        <f ca="1">IFERROR((tb_investimentos[[#This Row],[VALOR TOTAL MERCADO]]-tb_investimentos[[#This Row],[VALOR TOTAL PONDERADO]])/tb_investimentos[[#This Row],[VALOR TOTAL PONDERADO]],"")</f>
        <v/>
      </c>
    </row>
    <row r="148" spans="2:21" hidden="1" x14ac:dyDescent="0.2">
      <c r="B148" s="13" t="s">
        <v>77</v>
      </c>
      <c r="C148" s="72">
        <v>46553</v>
      </c>
      <c r="D148" s="9" t="s">
        <v>78</v>
      </c>
      <c r="E148" s="11" t="str">
        <f>IF(tb_investimentos[[#This Row],[TIPO MOVIMENTAÇÃO]]="Aporte",_xlfn.XLOOKUP(tb_investimentos[[#This Row],[DESCRIÇÃO]],'INFO AÇÕES'!E:E,'INFO AÇÕES'!I:I),"BRL")</f>
        <v>BRL</v>
      </c>
      <c r="F148" s="75" t="s">
        <v>101</v>
      </c>
      <c r="G148" s="11">
        <v>1</v>
      </c>
      <c r="H148" s="12">
        <v>79.900000000000006</v>
      </c>
      <c r="I148" s="13" t="s">
        <v>107</v>
      </c>
      <c r="J148" s="51">
        <f t="shared" si="4"/>
        <v>79.900000000000006</v>
      </c>
      <c r="K148" s="13" t="s">
        <v>105</v>
      </c>
      <c r="L148">
        <f>MONTH(tb_investimentos[[#This Row],[DATA]])</f>
        <v>6</v>
      </c>
      <c r="M148">
        <f>YEAR(tb_investimentos[[#This Row],[DATA]])</f>
        <v>2027</v>
      </c>
      <c r="N148">
        <f>DAY(tb_investimentos[[#This Row],[DATA]])</f>
        <v>15</v>
      </c>
      <c r="O148">
        <f t="shared" si="5"/>
        <v>59.90000000000002</v>
      </c>
      <c r="P148">
        <f>tb_investimentos[[#This Row],[PREÇO MÉDIO PONDERADO]]*tb_investimentos[[#This Row],[QUANTIDADE]]</f>
        <v>59.90000000000002</v>
      </c>
      <c r="Q148" s="58" t="str">
        <f ca="1">IFERROR(_xlfn.XLOOKUP(tb_investimentos[[#This Row],[DESCRIÇÃO]],tb_acoes[Símbolo do ticker],tb_acoes[Preço]),"")</f>
        <v/>
      </c>
      <c r="R148" s="58" t="str">
        <f ca="1">IFERROR(tb_investimentos[[#This Row],[QUANTIDADE]]*tb_investimentos[[#This Row],[PREÇO MERCADO]],"")</f>
        <v/>
      </c>
      <c r="S148" s="58" t="str">
        <f ca="1">IFERROR(tb_investimentos[[#This Row],[VALOR TOTAL MERCADO]]-tb_investimentos[[#This Row],[VALOR TOTAL PONDERADO]],"")</f>
        <v/>
      </c>
      <c r="T148" s="58" t="str">
        <f ca="1">IFERROR(_xlfn.XLOOKUP(tb_investimentos[[#This Row],[DESCRIÇÃO]],'INFO AÇÕES'!E:E,'INFO AÇÕES'!H:H),"")</f>
        <v/>
      </c>
      <c r="U148" s="59" t="str">
        <f ca="1">IFERROR((tb_investimentos[[#This Row],[VALOR TOTAL MERCADO]]-tb_investimentos[[#This Row],[VALOR TOTAL PONDERADO]])/tb_investimentos[[#This Row],[VALOR TOTAL PONDERADO]],"")</f>
        <v/>
      </c>
    </row>
    <row r="149" spans="2:21" hidden="1" x14ac:dyDescent="0.2">
      <c r="B149" s="13" t="s">
        <v>77</v>
      </c>
      <c r="C149" s="72">
        <v>46553</v>
      </c>
      <c r="D149" s="9" t="s">
        <v>79</v>
      </c>
      <c r="E149" s="11" t="str">
        <f>IF(tb_investimentos[[#This Row],[TIPO MOVIMENTAÇÃO]]="Aporte",_xlfn.XLOOKUP(tb_investimentos[[#This Row],[DESCRIÇÃO]],'INFO AÇÕES'!E:E,'INFO AÇÕES'!I:I),"BRL")</f>
        <v>BRL</v>
      </c>
      <c r="F149" s="75" t="s">
        <v>100</v>
      </c>
      <c r="G149" s="11">
        <v>1</v>
      </c>
      <c r="H149" s="12">
        <v>110</v>
      </c>
      <c r="I149" s="13" t="s">
        <v>107</v>
      </c>
      <c r="J149" s="51">
        <f t="shared" si="4"/>
        <v>110</v>
      </c>
      <c r="K149" s="13" t="s">
        <v>105</v>
      </c>
      <c r="L149">
        <f>MONTH(tb_investimentos[[#This Row],[DATA]])</f>
        <v>6</v>
      </c>
      <c r="M149">
        <f>YEAR(tb_investimentos[[#This Row],[DATA]])</f>
        <v>2027</v>
      </c>
      <c r="N149">
        <f>DAY(tb_investimentos[[#This Row],[DATA]])</f>
        <v>15</v>
      </c>
      <c r="O149">
        <f t="shared" si="5"/>
        <v>110</v>
      </c>
      <c r="P149">
        <f>tb_investimentos[[#This Row],[PREÇO MÉDIO PONDERADO]]*tb_investimentos[[#This Row],[QUANTIDADE]]</f>
        <v>110</v>
      </c>
      <c r="Q149" s="58" t="str">
        <f ca="1">IFERROR(_xlfn.XLOOKUP(tb_investimentos[[#This Row],[DESCRIÇÃO]],tb_acoes[Símbolo do ticker],tb_acoes[Preço]),"")</f>
        <v/>
      </c>
      <c r="R149" s="58" t="str">
        <f ca="1">IFERROR(tb_investimentos[[#This Row],[QUANTIDADE]]*tb_investimentos[[#This Row],[PREÇO MERCADO]],"")</f>
        <v/>
      </c>
      <c r="S149" s="58" t="str">
        <f ca="1">IFERROR(tb_investimentos[[#This Row],[VALOR TOTAL MERCADO]]-tb_investimentos[[#This Row],[VALOR TOTAL PONDERADO]],"")</f>
        <v/>
      </c>
      <c r="T149" s="58" t="str">
        <f ca="1">IFERROR(_xlfn.XLOOKUP(tb_investimentos[[#This Row],[DESCRIÇÃO]],'INFO AÇÕES'!E:E,'INFO AÇÕES'!H:H),"")</f>
        <v/>
      </c>
      <c r="U149" s="59" t="str">
        <f ca="1">IFERROR((tb_investimentos[[#This Row],[VALOR TOTAL MERCADO]]-tb_investimentos[[#This Row],[VALOR TOTAL PONDERADO]])/tb_investimentos[[#This Row],[VALOR TOTAL PONDERADO]],"")</f>
        <v/>
      </c>
    </row>
    <row r="150" spans="2:21" hidden="1" x14ac:dyDescent="0.2">
      <c r="B150" s="13" t="s">
        <v>77</v>
      </c>
      <c r="C150" s="10">
        <v>46553</v>
      </c>
      <c r="D150" s="9" t="s">
        <v>88</v>
      </c>
      <c r="E150" s="11" t="str">
        <f>IF(tb_investimentos[[#This Row],[TIPO MOVIMENTAÇÃO]]="Aporte",_xlfn.XLOOKUP(tb_investimentos[[#This Row],[DESCRIÇÃO]],'INFO AÇÕES'!E:E,'INFO AÇÕES'!I:I),"BRL")</f>
        <v>BRL</v>
      </c>
      <c r="F150" s="75" t="s">
        <v>91</v>
      </c>
      <c r="G150" s="11">
        <v>1</v>
      </c>
      <c r="H150" s="83">
        <v>1237.12492</v>
      </c>
      <c r="I150" s="13" t="s">
        <v>107</v>
      </c>
      <c r="J150" s="51">
        <f t="shared" si="4"/>
        <v>1237.12492</v>
      </c>
      <c r="K150" s="13" t="s">
        <v>105</v>
      </c>
      <c r="L150">
        <f>MONTH(tb_investimentos[[#This Row],[DATA]])</f>
        <v>6</v>
      </c>
      <c r="M150">
        <f>YEAR(tb_investimentos[[#This Row],[DATA]])</f>
        <v>2027</v>
      </c>
      <c r="N150">
        <f>DAY(tb_investimentos[[#This Row],[DATA]])</f>
        <v>15</v>
      </c>
      <c r="O150">
        <f t="shared" si="5"/>
        <v>1629.9930261538464</v>
      </c>
      <c r="P150">
        <f>tb_investimentos[[#This Row],[PREÇO MÉDIO PONDERADO]]*tb_investimentos[[#This Row],[QUANTIDADE]]</f>
        <v>1629.9930261538464</v>
      </c>
      <c r="Q150" s="58" t="str">
        <f ca="1">IFERROR(_xlfn.XLOOKUP(tb_investimentos[[#This Row],[DESCRIÇÃO]],tb_acoes[Símbolo do ticker],tb_acoes[Preço]),"")</f>
        <v/>
      </c>
      <c r="R150" s="58" t="str">
        <f ca="1">IFERROR(tb_investimentos[[#This Row],[QUANTIDADE]]*tb_investimentos[[#This Row],[PREÇO MERCADO]],"")</f>
        <v/>
      </c>
      <c r="S150" s="58" t="str">
        <f ca="1">IFERROR(tb_investimentos[[#This Row],[VALOR TOTAL MERCADO]]-tb_investimentos[[#This Row],[VALOR TOTAL PONDERADO]],"")</f>
        <v/>
      </c>
      <c r="T150" s="58" t="str">
        <f ca="1">IFERROR(_xlfn.XLOOKUP(tb_investimentos[[#This Row],[DESCRIÇÃO]],'INFO AÇÕES'!E:E,'INFO AÇÕES'!H:H),"")</f>
        <v/>
      </c>
      <c r="U150" s="59" t="str">
        <f ca="1">IFERROR((tb_investimentos[[#This Row],[VALOR TOTAL MERCADO]]-tb_investimentos[[#This Row],[VALOR TOTAL PONDERADO]])/tb_investimentos[[#This Row],[VALOR TOTAL PONDERADO]],"")</f>
        <v/>
      </c>
    </row>
    <row r="151" spans="2:21" hidden="1" x14ac:dyDescent="0.2">
      <c r="B151" s="13" t="s">
        <v>77</v>
      </c>
      <c r="C151" s="10">
        <v>46558</v>
      </c>
      <c r="D151" s="9" t="s">
        <v>94</v>
      </c>
      <c r="E151" s="11" t="str">
        <f>IF(tb_investimentos[[#This Row],[TIPO MOVIMENTAÇÃO]]="Aporte",_xlfn.XLOOKUP(tb_investimentos[[#This Row],[DESCRIÇÃO]],'INFO AÇÕES'!E:E,'INFO AÇÕES'!I:I),"BRL")</f>
        <v>BRL</v>
      </c>
      <c r="F151" s="75" t="s">
        <v>95</v>
      </c>
      <c r="G151" s="11">
        <v>1</v>
      </c>
      <c r="H151" s="12">
        <v>95</v>
      </c>
      <c r="I151" s="13" t="s">
        <v>107</v>
      </c>
      <c r="J151" s="51">
        <f t="shared" si="4"/>
        <v>95</v>
      </c>
      <c r="K151" s="13" t="s">
        <v>105</v>
      </c>
      <c r="L151">
        <f>MONTH(tb_investimentos[[#This Row],[DATA]])</f>
        <v>6</v>
      </c>
      <c r="M151">
        <f>YEAR(tb_investimentos[[#This Row],[DATA]])</f>
        <v>2027</v>
      </c>
      <c r="N151">
        <f>DAY(tb_investimentos[[#This Row],[DATA]])</f>
        <v>20</v>
      </c>
      <c r="O151">
        <f t="shared" si="5"/>
        <v>93.857142857142861</v>
      </c>
      <c r="P151">
        <f>tb_investimentos[[#This Row],[PREÇO MÉDIO PONDERADO]]*tb_investimentos[[#This Row],[QUANTIDADE]]</f>
        <v>93.857142857142861</v>
      </c>
      <c r="Q151" s="58" t="str">
        <f ca="1">IFERROR(_xlfn.XLOOKUP(tb_investimentos[[#This Row],[DESCRIÇÃO]],tb_acoes[Símbolo do ticker],tb_acoes[Preço]),"")</f>
        <v/>
      </c>
      <c r="R151" s="58" t="str">
        <f ca="1">IFERROR(tb_investimentos[[#This Row],[QUANTIDADE]]*tb_investimentos[[#This Row],[PREÇO MERCADO]],"")</f>
        <v/>
      </c>
      <c r="S151" s="58" t="str">
        <f ca="1">IFERROR(tb_investimentos[[#This Row],[VALOR TOTAL MERCADO]]-tb_investimentos[[#This Row],[VALOR TOTAL PONDERADO]],"")</f>
        <v/>
      </c>
      <c r="T151" s="58" t="str">
        <f ca="1">IFERROR(_xlfn.XLOOKUP(tb_investimentos[[#This Row],[DESCRIÇÃO]],'INFO AÇÕES'!E:E,'INFO AÇÕES'!H:H),"")</f>
        <v/>
      </c>
      <c r="U151" s="59" t="str">
        <f ca="1">IFERROR((tb_investimentos[[#This Row],[VALOR TOTAL MERCADO]]-tb_investimentos[[#This Row],[VALOR TOTAL PONDERADO]])/tb_investimentos[[#This Row],[VALOR TOTAL PONDERADO]],"")</f>
        <v/>
      </c>
    </row>
    <row r="152" spans="2:21" hidden="1" x14ac:dyDescent="0.2">
      <c r="B152" s="13" t="s">
        <v>77</v>
      </c>
      <c r="C152" s="10">
        <v>46562</v>
      </c>
      <c r="D152" s="9" t="s">
        <v>84</v>
      </c>
      <c r="E152" s="11" t="str">
        <f>IF(tb_investimentos[[#This Row],[TIPO MOVIMENTAÇÃO]]="Aporte",_xlfn.XLOOKUP(tb_investimentos[[#This Row],[DESCRIÇÃO]],'INFO AÇÕES'!E:E,'INFO AÇÕES'!I:I),"BRL")</f>
        <v>BRL</v>
      </c>
      <c r="F152" s="75" t="s">
        <v>83</v>
      </c>
      <c r="G152" s="11">
        <v>1</v>
      </c>
      <c r="H152" s="12">
        <v>650</v>
      </c>
      <c r="I152" s="13" t="s">
        <v>107</v>
      </c>
      <c r="J152" s="51">
        <f t="shared" si="4"/>
        <v>650</v>
      </c>
      <c r="K152" s="13" t="s">
        <v>105</v>
      </c>
      <c r="L152">
        <f>MONTH(tb_investimentos[[#This Row],[DATA]])</f>
        <v>6</v>
      </c>
      <c r="M152">
        <f>YEAR(tb_investimentos[[#This Row],[DATA]])</f>
        <v>2027</v>
      </c>
      <c r="N152">
        <f>DAY(tb_investimentos[[#This Row],[DATA]])</f>
        <v>24</v>
      </c>
      <c r="O152">
        <f t="shared" si="5"/>
        <v>650</v>
      </c>
      <c r="P152">
        <f>tb_investimentos[[#This Row],[PREÇO MÉDIO PONDERADO]]*tb_investimentos[[#This Row],[QUANTIDADE]]</f>
        <v>650</v>
      </c>
      <c r="Q152" s="58" t="str">
        <f ca="1">IFERROR(_xlfn.XLOOKUP(tb_investimentos[[#This Row],[DESCRIÇÃO]],tb_acoes[Símbolo do ticker],tb_acoes[Preço]),"")</f>
        <v/>
      </c>
      <c r="R152" s="58" t="str">
        <f ca="1">IFERROR(tb_investimentos[[#This Row],[QUANTIDADE]]*tb_investimentos[[#This Row],[PREÇO MERCADO]],"")</f>
        <v/>
      </c>
      <c r="S152" s="58" t="str">
        <f ca="1">IFERROR(tb_investimentos[[#This Row],[VALOR TOTAL MERCADO]]-tb_investimentos[[#This Row],[VALOR TOTAL PONDERADO]],"")</f>
        <v/>
      </c>
      <c r="T152" s="58" t="str">
        <f ca="1">IFERROR(_xlfn.XLOOKUP(tb_investimentos[[#This Row],[DESCRIÇÃO]],'INFO AÇÕES'!E:E,'INFO AÇÕES'!H:H),"")</f>
        <v/>
      </c>
      <c r="U152" s="59" t="str">
        <f ca="1">IFERROR((tb_investimentos[[#This Row],[VALOR TOTAL MERCADO]]-tb_investimentos[[#This Row],[VALOR TOTAL PONDERADO]])/tb_investimentos[[#This Row],[VALOR TOTAL PONDERADO]],"")</f>
        <v/>
      </c>
    </row>
    <row r="153" spans="2:21" hidden="1" x14ac:dyDescent="0.2">
      <c r="B153" s="13" t="s">
        <v>77</v>
      </c>
      <c r="C153" s="10">
        <v>46566</v>
      </c>
      <c r="D153" s="9" t="s">
        <v>82</v>
      </c>
      <c r="E153" s="11" t="str">
        <f>IF(tb_investimentos[[#This Row],[TIPO MOVIMENTAÇÃO]]="Aporte",_xlfn.XLOOKUP(tb_investimentos[[#This Row],[DESCRIÇÃO]],'INFO AÇÕES'!E:E,'INFO AÇÕES'!I:I),"BRL")</f>
        <v>BRL</v>
      </c>
      <c r="F153" s="75" t="s">
        <v>81</v>
      </c>
      <c r="G153" s="11">
        <v>1</v>
      </c>
      <c r="H153" s="12">
        <v>650</v>
      </c>
      <c r="I153" s="13" t="s">
        <v>107</v>
      </c>
      <c r="J153" s="51">
        <f t="shared" si="4"/>
        <v>650</v>
      </c>
      <c r="K153" s="13" t="s">
        <v>105</v>
      </c>
      <c r="L153">
        <f>MONTH(tb_investimentos[[#This Row],[DATA]])</f>
        <v>6</v>
      </c>
      <c r="M153">
        <f>YEAR(tb_investimentos[[#This Row],[DATA]])</f>
        <v>2027</v>
      </c>
      <c r="N153">
        <f>DAY(tb_investimentos[[#This Row],[DATA]])</f>
        <v>28</v>
      </c>
      <c r="O153">
        <f t="shared" si="5"/>
        <v>650</v>
      </c>
      <c r="P153">
        <f>tb_investimentos[[#This Row],[PREÇO MÉDIO PONDERADO]]*tb_investimentos[[#This Row],[QUANTIDADE]]</f>
        <v>650</v>
      </c>
      <c r="Q153" s="58" t="str">
        <f ca="1">IFERROR(_xlfn.XLOOKUP(tb_investimentos[[#This Row],[DESCRIÇÃO]],tb_acoes[Símbolo do ticker],tb_acoes[Preço]),"")</f>
        <v/>
      </c>
      <c r="R153" s="58" t="str">
        <f ca="1">IFERROR(tb_investimentos[[#This Row],[QUANTIDADE]]*tb_investimentos[[#This Row],[PREÇO MERCADO]],"")</f>
        <v/>
      </c>
      <c r="S153" s="58" t="str">
        <f ca="1">IFERROR(tb_investimentos[[#This Row],[VALOR TOTAL MERCADO]]-tb_investimentos[[#This Row],[VALOR TOTAL PONDERADO]],"")</f>
        <v/>
      </c>
      <c r="T153" s="58" t="str">
        <f ca="1">IFERROR(_xlfn.XLOOKUP(tb_investimentos[[#This Row],[DESCRIÇÃO]],'INFO AÇÕES'!E:E,'INFO AÇÕES'!H:H),"")</f>
        <v/>
      </c>
      <c r="U153" s="59" t="str">
        <f ca="1">IFERROR((tb_investimentos[[#This Row],[VALOR TOTAL MERCADO]]-tb_investimentos[[#This Row],[VALOR TOTAL PONDERADO]])/tb_investimentos[[#This Row],[VALOR TOTAL PONDERADO]],"")</f>
        <v/>
      </c>
    </row>
    <row r="154" spans="2:21" hidden="1" x14ac:dyDescent="0.2">
      <c r="B154" s="13" t="s">
        <v>72</v>
      </c>
      <c r="C154" s="72">
        <v>46573</v>
      </c>
      <c r="D154" s="9" t="s">
        <v>76</v>
      </c>
      <c r="E154" s="11" t="str">
        <f>IF(tb_investimentos[[#This Row],[TIPO MOVIMENTAÇÃO]]="Aporte",_xlfn.XLOOKUP(tb_investimentos[[#This Row],[DESCRIÇÃO]],'INFO AÇÕES'!E:E,'INFO AÇÕES'!I:I),"BRL")</f>
        <v>BRL</v>
      </c>
      <c r="F154" s="75" t="s">
        <v>73</v>
      </c>
      <c r="G154" s="11">
        <v>1</v>
      </c>
      <c r="H154" s="12">
        <v>8000</v>
      </c>
      <c r="I154" s="13" t="s">
        <v>107</v>
      </c>
      <c r="J154" s="51">
        <f t="shared" si="4"/>
        <v>8000</v>
      </c>
      <c r="K154" s="13" t="s">
        <v>105</v>
      </c>
      <c r="L154">
        <f>MONTH(tb_investimentos[[#This Row],[DATA]])</f>
        <v>7</v>
      </c>
      <c r="M154">
        <f>YEAR(tb_investimentos[[#This Row],[DATA]])</f>
        <v>2027</v>
      </c>
      <c r="N154">
        <f>DAY(tb_investimentos[[#This Row],[DATA]])</f>
        <v>5</v>
      </c>
      <c r="O154">
        <f t="shared" si="5"/>
        <v>7801.7948717948721</v>
      </c>
      <c r="P154">
        <f>tb_investimentos[[#This Row],[PREÇO MÉDIO PONDERADO]]*tb_investimentos[[#This Row],[QUANTIDADE]]</f>
        <v>7801.7948717948721</v>
      </c>
      <c r="Q154" s="58" t="str">
        <f ca="1">IFERROR(_xlfn.XLOOKUP(tb_investimentos[[#This Row],[DESCRIÇÃO]],tb_acoes[Símbolo do ticker],tb_acoes[Preço]),"")</f>
        <v/>
      </c>
      <c r="R154" s="58" t="str">
        <f ca="1">IFERROR(tb_investimentos[[#This Row],[QUANTIDADE]]*tb_investimentos[[#This Row],[PREÇO MERCADO]],"")</f>
        <v/>
      </c>
      <c r="S154" s="58" t="str">
        <f ca="1">IFERROR(tb_investimentos[[#This Row],[VALOR TOTAL MERCADO]]-tb_investimentos[[#This Row],[VALOR TOTAL PONDERADO]],"")</f>
        <v/>
      </c>
      <c r="T154" s="58" t="str">
        <f ca="1">IFERROR(_xlfn.XLOOKUP(tb_investimentos[[#This Row],[DESCRIÇÃO]],'INFO AÇÕES'!E:E,'INFO AÇÕES'!H:H),"")</f>
        <v/>
      </c>
      <c r="U154" s="59" t="str">
        <f ca="1">IFERROR((tb_investimentos[[#This Row],[VALOR TOTAL MERCADO]]-tb_investimentos[[#This Row],[VALOR TOTAL PONDERADO]])/tb_investimentos[[#This Row],[VALOR TOTAL PONDERADO]],"")</f>
        <v/>
      </c>
    </row>
    <row r="155" spans="2:21" hidden="1" x14ac:dyDescent="0.2">
      <c r="B155" s="13" t="s">
        <v>72</v>
      </c>
      <c r="C155" s="10">
        <v>46573</v>
      </c>
      <c r="D155" s="9" t="s">
        <v>75</v>
      </c>
      <c r="E155" s="11" t="str">
        <f>IF(tb_investimentos[[#This Row],[TIPO MOVIMENTAÇÃO]]="Aporte",_xlfn.XLOOKUP(tb_investimentos[[#This Row],[DESCRIÇÃO]],'INFO AÇÕES'!E:E,'INFO AÇÕES'!I:I),"BRL")</f>
        <v>BRL</v>
      </c>
      <c r="F155" s="75" t="s">
        <v>74</v>
      </c>
      <c r="G155" s="11">
        <v>1</v>
      </c>
      <c r="H155" s="12">
        <v>700</v>
      </c>
      <c r="I155" s="13" t="s">
        <v>107</v>
      </c>
      <c r="J155" s="51">
        <f t="shared" si="4"/>
        <v>700</v>
      </c>
      <c r="K155" s="13" t="s">
        <v>105</v>
      </c>
      <c r="L155">
        <f>MONTH(tb_investimentos[[#This Row],[DATA]])</f>
        <v>7</v>
      </c>
      <c r="M155">
        <f>YEAR(tb_investimentos[[#This Row],[DATA]])</f>
        <v>2027</v>
      </c>
      <c r="N155">
        <f>DAY(tb_investimentos[[#This Row],[DATA]])</f>
        <v>5</v>
      </c>
      <c r="O155">
        <f t="shared" si="5"/>
        <v>770</v>
      </c>
      <c r="P155">
        <f>tb_investimentos[[#This Row],[PREÇO MÉDIO PONDERADO]]*tb_investimentos[[#This Row],[QUANTIDADE]]</f>
        <v>770</v>
      </c>
      <c r="Q155" s="58" t="str">
        <f ca="1">IFERROR(_xlfn.XLOOKUP(tb_investimentos[[#This Row],[DESCRIÇÃO]],tb_acoes[Símbolo do ticker],tb_acoes[Preço]),"")</f>
        <v/>
      </c>
      <c r="R155" s="58" t="str">
        <f ca="1">IFERROR(tb_investimentos[[#This Row],[QUANTIDADE]]*tb_investimentos[[#This Row],[PREÇO MERCADO]],"")</f>
        <v/>
      </c>
      <c r="S155" s="58" t="str">
        <f ca="1">IFERROR(tb_investimentos[[#This Row],[VALOR TOTAL MERCADO]]-tb_investimentos[[#This Row],[VALOR TOTAL PONDERADO]],"")</f>
        <v/>
      </c>
      <c r="T155" s="58" t="str">
        <f ca="1">IFERROR(_xlfn.XLOOKUP(tb_investimentos[[#This Row],[DESCRIÇÃO]],'INFO AÇÕES'!E:E,'INFO AÇÕES'!H:H),"")</f>
        <v/>
      </c>
      <c r="U155" s="59" t="str">
        <f ca="1">IFERROR((tb_investimentos[[#This Row],[VALOR TOTAL MERCADO]]-tb_investimentos[[#This Row],[VALOR TOTAL PONDERADO]])/tb_investimentos[[#This Row],[VALOR TOTAL PONDERADO]],"")</f>
        <v/>
      </c>
    </row>
    <row r="156" spans="2:21" hidden="1" x14ac:dyDescent="0.2">
      <c r="B156" s="13" t="s">
        <v>39</v>
      </c>
      <c r="C156" s="10">
        <v>46573</v>
      </c>
      <c r="D156" s="9"/>
      <c r="E156" s="11">
        <f ca="1">IF(tb_investimentos[[#This Row],[TIPO MOVIMENTAÇÃO]]="Aporte",_xlfn.XLOOKUP(tb_investimentos[[#This Row],[DESCRIÇÃO]],'INFO AÇÕES'!E:E,'INFO AÇÕES'!I:I),"BRL")</f>
        <v>0</v>
      </c>
      <c r="F156" s="73" t="s">
        <v>10</v>
      </c>
      <c r="G156" s="11">
        <v>1</v>
      </c>
      <c r="H156" s="12">
        <v>2500</v>
      </c>
      <c r="I156" s="13" t="s">
        <v>58</v>
      </c>
      <c r="J156" s="51">
        <f t="shared" si="4"/>
        <v>2500</v>
      </c>
      <c r="K156" s="11" t="s">
        <v>105</v>
      </c>
      <c r="L156">
        <f>MONTH(tb_investimentos[[#This Row],[DATA]])</f>
        <v>7</v>
      </c>
      <c r="M156">
        <f>YEAR(tb_investimentos[[#This Row],[DATA]])</f>
        <v>2027</v>
      </c>
      <c r="N156">
        <f>DAY(tb_investimentos[[#This Row],[DATA]])</f>
        <v>5</v>
      </c>
      <c r="O156" t="e">
        <f t="shared" si="5"/>
        <v>#DIV/0!</v>
      </c>
      <c r="P156" t="e">
        <f>tb_investimentos[[#This Row],[PREÇO MÉDIO PONDERADO]]*tb_investimentos[[#This Row],[QUANTIDADE]]</f>
        <v>#DIV/0!</v>
      </c>
      <c r="Q156" s="58" t="str">
        <f ca="1">IFERROR(_xlfn.XLOOKUP(tb_investimentos[[#This Row],[DESCRIÇÃO]],tb_acoes[Símbolo do ticker],tb_acoes[Preço]),"")</f>
        <v/>
      </c>
      <c r="R156" s="58" t="str">
        <f ca="1">IFERROR(tb_investimentos[[#This Row],[QUANTIDADE]]*tb_investimentos[[#This Row],[PREÇO MERCADO]],"")</f>
        <v/>
      </c>
      <c r="S156" s="58" t="str">
        <f ca="1">IFERROR(tb_investimentos[[#This Row],[VALOR TOTAL MERCADO]]-tb_investimentos[[#This Row],[VALOR TOTAL PONDERADO]],"")</f>
        <v/>
      </c>
      <c r="T156" s="58" t="str">
        <f ca="1">IFERROR(_xlfn.XLOOKUP(tb_investimentos[[#This Row],[DESCRIÇÃO]],'INFO AÇÕES'!E:E,'INFO AÇÕES'!H:H),"")</f>
        <v/>
      </c>
      <c r="U156" s="59" t="str">
        <f ca="1">IFERROR((tb_investimentos[[#This Row],[VALOR TOTAL MERCADO]]-tb_investimentos[[#This Row],[VALOR TOTAL PONDERADO]])/tb_investimentos[[#This Row],[VALOR TOTAL PONDERADO]],"")</f>
        <v/>
      </c>
    </row>
    <row r="157" spans="2:21" hidden="1" x14ac:dyDescent="0.2">
      <c r="B157" s="13" t="s">
        <v>77</v>
      </c>
      <c r="C157" s="10">
        <v>46575</v>
      </c>
      <c r="D157" s="9" t="s">
        <v>92</v>
      </c>
      <c r="E157" s="11" t="str">
        <f>IF(tb_investimentos[[#This Row],[TIPO MOVIMENTAÇÃO]]="Aporte",_xlfn.XLOOKUP(tb_investimentos[[#This Row],[DESCRIÇÃO]],'INFO AÇÕES'!E:E,'INFO AÇÕES'!I:I),"BRL")</f>
        <v>BRL</v>
      </c>
      <c r="F157" s="75" t="s">
        <v>93</v>
      </c>
      <c r="G157" s="11">
        <v>1</v>
      </c>
      <c r="H157" s="12">
        <v>205</v>
      </c>
      <c r="I157" s="13" t="s">
        <v>107</v>
      </c>
      <c r="J157" s="51">
        <f t="shared" si="4"/>
        <v>205</v>
      </c>
      <c r="K157" s="13" t="s">
        <v>105</v>
      </c>
      <c r="L157">
        <f>MONTH(tb_investimentos[[#This Row],[DATA]])</f>
        <v>7</v>
      </c>
      <c r="M157">
        <f>YEAR(tb_investimentos[[#This Row],[DATA]])</f>
        <v>2027</v>
      </c>
      <c r="N157">
        <f>DAY(tb_investimentos[[#This Row],[DATA]])</f>
        <v>7</v>
      </c>
      <c r="O157">
        <f t="shared" si="5"/>
        <v>205</v>
      </c>
      <c r="P157">
        <f>tb_investimentos[[#This Row],[PREÇO MÉDIO PONDERADO]]*tb_investimentos[[#This Row],[QUANTIDADE]]</f>
        <v>205</v>
      </c>
      <c r="Q157" s="58" t="str">
        <f ca="1">IFERROR(_xlfn.XLOOKUP(tb_investimentos[[#This Row],[DESCRIÇÃO]],tb_acoes[Símbolo do ticker],tb_acoes[Preço]),"")</f>
        <v/>
      </c>
      <c r="R157" s="58" t="str">
        <f ca="1">IFERROR(tb_investimentos[[#This Row],[QUANTIDADE]]*tb_investimentos[[#This Row],[PREÇO MERCADO]],"")</f>
        <v/>
      </c>
      <c r="S157" s="58" t="str">
        <f ca="1">IFERROR(tb_investimentos[[#This Row],[VALOR TOTAL MERCADO]]-tb_investimentos[[#This Row],[VALOR TOTAL PONDERADO]],"")</f>
        <v/>
      </c>
      <c r="T157" s="58" t="str">
        <f ca="1">IFERROR(_xlfn.XLOOKUP(tb_investimentos[[#This Row],[DESCRIÇÃO]],'INFO AÇÕES'!E:E,'INFO AÇÕES'!H:H),"")</f>
        <v/>
      </c>
      <c r="U157" s="59" t="str">
        <f ca="1">IFERROR((tb_investimentos[[#This Row],[VALOR TOTAL MERCADO]]-tb_investimentos[[#This Row],[VALOR TOTAL PONDERADO]])/tb_investimentos[[#This Row],[VALOR TOTAL PONDERADO]],"")</f>
        <v/>
      </c>
    </row>
    <row r="158" spans="2:21" hidden="1" x14ac:dyDescent="0.2">
      <c r="B158" s="13" t="s">
        <v>77</v>
      </c>
      <c r="C158" s="10">
        <v>46575</v>
      </c>
      <c r="D158" s="9" t="s">
        <v>107</v>
      </c>
      <c r="E158" s="11" t="str">
        <f>IF(tb_investimentos[[#This Row],[TIPO MOVIMENTAÇÃO]]="Aporte",_xlfn.XLOOKUP(tb_investimentos[[#This Row],[DESCRIÇÃO]],'INFO AÇÕES'!E:E,'INFO AÇÕES'!I:I),"BRL")</f>
        <v>BRL</v>
      </c>
      <c r="F158" s="75" t="s">
        <v>106</v>
      </c>
      <c r="G158" s="11">
        <v>1</v>
      </c>
      <c r="H158" s="12">
        <v>500</v>
      </c>
      <c r="I158" s="13" t="s">
        <v>107</v>
      </c>
      <c r="J158" s="51">
        <f t="shared" si="4"/>
        <v>500</v>
      </c>
      <c r="K158" s="13" t="s">
        <v>105</v>
      </c>
      <c r="L158">
        <f>MONTH(tb_investimentos[[#This Row],[DATA]])</f>
        <v>7</v>
      </c>
      <c r="M158">
        <f>YEAR(tb_investimentos[[#This Row],[DATA]])</f>
        <v>2027</v>
      </c>
      <c r="N158">
        <f>DAY(tb_investimentos[[#This Row],[DATA]])</f>
        <v>7</v>
      </c>
      <c r="O158">
        <f t="shared" si="5"/>
        <v>515.93333333333328</v>
      </c>
      <c r="P158">
        <f>tb_investimentos[[#This Row],[PREÇO MÉDIO PONDERADO]]*tb_investimentos[[#This Row],[QUANTIDADE]]</f>
        <v>515.93333333333328</v>
      </c>
      <c r="Q158" s="58" t="str">
        <f ca="1">IFERROR(_xlfn.XLOOKUP(tb_investimentos[[#This Row],[DESCRIÇÃO]],tb_acoes[Símbolo do ticker],tb_acoes[Preço]),"")</f>
        <v/>
      </c>
      <c r="R158" s="58" t="str">
        <f ca="1">IFERROR(tb_investimentos[[#This Row],[QUANTIDADE]]*tb_investimentos[[#This Row],[PREÇO MERCADO]],"")</f>
        <v/>
      </c>
      <c r="S158" s="58" t="str">
        <f ca="1">IFERROR(tb_investimentos[[#This Row],[VALOR TOTAL MERCADO]]-tb_investimentos[[#This Row],[VALOR TOTAL PONDERADO]],"")</f>
        <v/>
      </c>
      <c r="T158" s="58" t="str">
        <f ca="1">IFERROR(_xlfn.XLOOKUP(tb_investimentos[[#This Row],[DESCRIÇÃO]],'INFO AÇÕES'!E:E,'INFO AÇÕES'!H:H),"")</f>
        <v/>
      </c>
      <c r="U158" s="59" t="str">
        <f ca="1">IFERROR((tb_investimentos[[#This Row],[VALOR TOTAL MERCADO]]-tb_investimentos[[#This Row],[VALOR TOTAL PONDERADO]])/tb_investimentos[[#This Row],[VALOR TOTAL PONDERADO]],"")</f>
        <v/>
      </c>
    </row>
    <row r="159" spans="2:21" hidden="1" x14ac:dyDescent="0.2">
      <c r="B159" s="13" t="s">
        <v>77</v>
      </c>
      <c r="C159" s="10">
        <v>46576</v>
      </c>
      <c r="D159" s="9" t="s">
        <v>80</v>
      </c>
      <c r="E159" s="11" t="str">
        <f>IF(tb_investimentos[[#This Row],[TIPO MOVIMENTAÇÃO]]="Aporte",_xlfn.XLOOKUP(tb_investimentos[[#This Row],[DESCRIÇÃO]],'INFO AÇÕES'!E:E,'INFO AÇÕES'!I:I),"BRL")</f>
        <v>BRL</v>
      </c>
      <c r="F159" s="75" t="s">
        <v>99</v>
      </c>
      <c r="G159" s="11">
        <v>1</v>
      </c>
      <c r="H159" s="12">
        <v>25</v>
      </c>
      <c r="I159" s="13" t="s">
        <v>107</v>
      </c>
      <c r="J159" s="51">
        <f t="shared" si="4"/>
        <v>25</v>
      </c>
      <c r="K159" s="13" t="s">
        <v>105</v>
      </c>
      <c r="L159">
        <f>MONTH(tb_investimentos[[#This Row],[DATA]])</f>
        <v>7</v>
      </c>
      <c r="M159">
        <f>YEAR(tb_investimentos[[#This Row],[DATA]])</f>
        <v>2027</v>
      </c>
      <c r="N159">
        <f>DAY(tb_investimentos[[#This Row],[DATA]])</f>
        <v>8</v>
      </c>
      <c r="O159">
        <f t="shared" si="5"/>
        <v>25</v>
      </c>
      <c r="P159">
        <f>tb_investimentos[[#This Row],[PREÇO MÉDIO PONDERADO]]*tb_investimentos[[#This Row],[QUANTIDADE]]</f>
        <v>25</v>
      </c>
      <c r="Q159" s="58" t="str">
        <f ca="1">IFERROR(_xlfn.XLOOKUP(tb_investimentos[[#This Row],[DESCRIÇÃO]],tb_acoes[Símbolo do ticker],tb_acoes[Preço]),"")</f>
        <v/>
      </c>
      <c r="R159" s="58" t="str">
        <f ca="1">IFERROR(tb_investimentos[[#This Row],[QUANTIDADE]]*tb_investimentos[[#This Row],[PREÇO MERCADO]],"")</f>
        <v/>
      </c>
      <c r="S159" s="58" t="str">
        <f ca="1">IFERROR(tb_investimentos[[#This Row],[VALOR TOTAL MERCADO]]-tb_investimentos[[#This Row],[VALOR TOTAL PONDERADO]],"")</f>
        <v/>
      </c>
      <c r="T159" s="58" t="str">
        <f ca="1">IFERROR(_xlfn.XLOOKUP(tb_investimentos[[#This Row],[DESCRIÇÃO]],'INFO AÇÕES'!E:E,'INFO AÇÕES'!H:H),"")</f>
        <v/>
      </c>
      <c r="U159" s="59" t="str">
        <f ca="1">IFERROR((tb_investimentos[[#This Row],[VALOR TOTAL MERCADO]]-tb_investimentos[[#This Row],[VALOR TOTAL PONDERADO]])/tb_investimentos[[#This Row],[VALOR TOTAL PONDERADO]],"")</f>
        <v/>
      </c>
    </row>
    <row r="160" spans="2:21" hidden="1" x14ac:dyDescent="0.2">
      <c r="B160" s="13" t="s">
        <v>77</v>
      </c>
      <c r="C160" s="10">
        <v>46578</v>
      </c>
      <c r="D160" s="9" t="s">
        <v>85</v>
      </c>
      <c r="E160" s="11" t="str">
        <f>IF(tb_investimentos[[#This Row],[TIPO MOVIMENTAÇÃO]]="Aporte",_xlfn.XLOOKUP(tb_investimentos[[#This Row],[DESCRIÇÃO]],'INFO AÇÕES'!E:E,'INFO AÇÕES'!I:I),"BRL")</f>
        <v>BRL</v>
      </c>
      <c r="F160" s="75" t="s">
        <v>104</v>
      </c>
      <c r="G160" s="11">
        <v>1</v>
      </c>
      <c r="H160" s="12">
        <v>95</v>
      </c>
      <c r="I160" s="13" t="s">
        <v>107</v>
      </c>
      <c r="J160" s="51">
        <f t="shared" si="4"/>
        <v>95</v>
      </c>
      <c r="K160" s="13" t="s">
        <v>105</v>
      </c>
      <c r="L160">
        <f>MONTH(tb_investimentos[[#This Row],[DATA]])</f>
        <v>7</v>
      </c>
      <c r="M160">
        <f>YEAR(tb_investimentos[[#This Row],[DATA]])</f>
        <v>2027</v>
      </c>
      <c r="N160">
        <f>DAY(tb_investimentos[[#This Row],[DATA]])</f>
        <v>10</v>
      </c>
      <c r="O160">
        <f t="shared" si="5"/>
        <v>95</v>
      </c>
      <c r="P160">
        <f>tb_investimentos[[#This Row],[PREÇO MÉDIO PONDERADO]]*tb_investimentos[[#This Row],[QUANTIDADE]]</f>
        <v>95</v>
      </c>
      <c r="Q160" s="58" t="str">
        <f ca="1">IFERROR(_xlfn.XLOOKUP(tb_investimentos[[#This Row],[DESCRIÇÃO]],tb_acoes[Símbolo do ticker],tb_acoes[Preço]),"")</f>
        <v/>
      </c>
      <c r="R160" s="58" t="str">
        <f ca="1">IFERROR(tb_investimentos[[#This Row],[QUANTIDADE]]*tb_investimentos[[#This Row],[PREÇO MERCADO]],"")</f>
        <v/>
      </c>
      <c r="S160" s="58" t="str">
        <f ca="1">IFERROR(tb_investimentos[[#This Row],[VALOR TOTAL MERCADO]]-tb_investimentos[[#This Row],[VALOR TOTAL PONDERADO]],"")</f>
        <v/>
      </c>
      <c r="T160" s="58" t="str">
        <f ca="1">IFERROR(_xlfn.XLOOKUP(tb_investimentos[[#This Row],[DESCRIÇÃO]],'INFO AÇÕES'!E:E,'INFO AÇÕES'!H:H),"")</f>
        <v/>
      </c>
      <c r="U160" s="59" t="str">
        <f ca="1">IFERROR((tb_investimentos[[#This Row],[VALOR TOTAL MERCADO]]-tb_investimentos[[#This Row],[VALOR TOTAL PONDERADO]])/tb_investimentos[[#This Row],[VALOR TOTAL PONDERADO]],"")</f>
        <v/>
      </c>
    </row>
    <row r="161" spans="2:21" hidden="1" x14ac:dyDescent="0.2">
      <c r="B161" s="13" t="s">
        <v>77</v>
      </c>
      <c r="C161" s="10">
        <v>46580</v>
      </c>
      <c r="D161" s="9" t="s">
        <v>89</v>
      </c>
      <c r="E161" s="11" t="str">
        <f>IF(tb_investimentos[[#This Row],[TIPO MOVIMENTAÇÃO]]="Aporte",_xlfn.XLOOKUP(tb_investimentos[[#This Row],[DESCRIÇÃO]],'INFO AÇÕES'!E:E,'INFO AÇÕES'!I:I),"BRL")</f>
        <v>BRL</v>
      </c>
      <c r="F161" s="75" t="s">
        <v>90</v>
      </c>
      <c r="G161" s="11">
        <v>1</v>
      </c>
      <c r="H161" s="12">
        <v>16.899999999999999</v>
      </c>
      <c r="I161" s="13" t="s">
        <v>107</v>
      </c>
      <c r="J161" s="51">
        <f t="shared" si="4"/>
        <v>16.899999999999999</v>
      </c>
      <c r="K161" s="13" t="s">
        <v>105</v>
      </c>
      <c r="L161">
        <f>MONTH(tb_investimentos[[#This Row],[DATA]])</f>
        <v>7</v>
      </c>
      <c r="M161">
        <f>YEAR(tb_investimentos[[#This Row],[DATA]])</f>
        <v>2027</v>
      </c>
      <c r="N161">
        <f>DAY(tb_investimentos[[#This Row],[DATA]])</f>
        <v>12</v>
      </c>
      <c r="O161">
        <f t="shared" si="5"/>
        <v>137.33453714285722</v>
      </c>
      <c r="P161">
        <f>tb_investimentos[[#This Row],[PREÇO MÉDIO PONDERADO]]*tb_investimentos[[#This Row],[QUANTIDADE]]</f>
        <v>137.33453714285722</v>
      </c>
      <c r="Q161" s="58" t="str">
        <f ca="1">IFERROR(_xlfn.XLOOKUP(tb_investimentos[[#This Row],[DESCRIÇÃO]],tb_acoes[Símbolo do ticker],tb_acoes[Preço]),"")</f>
        <v/>
      </c>
      <c r="R161" s="58" t="str">
        <f ca="1">IFERROR(tb_investimentos[[#This Row],[QUANTIDADE]]*tb_investimentos[[#This Row],[PREÇO MERCADO]],"")</f>
        <v/>
      </c>
      <c r="S161" s="58" t="str">
        <f ca="1">IFERROR(tb_investimentos[[#This Row],[VALOR TOTAL MERCADO]]-tb_investimentos[[#This Row],[VALOR TOTAL PONDERADO]],"")</f>
        <v/>
      </c>
      <c r="T161" s="58" t="str">
        <f ca="1">IFERROR(_xlfn.XLOOKUP(tb_investimentos[[#This Row],[DESCRIÇÃO]],'INFO AÇÕES'!E:E,'INFO AÇÕES'!H:H),"")</f>
        <v/>
      </c>
      <c r="U161" s="59" t="str">
        <f ca="1">IFERROR((tb_investimentos[[#This Row],[VALOR TOTAL MERCADO]]-tb_investimentos[[#This Row],[VALOR TOTAL PONDERADO]])/tb_investimentos[[#This Row],[VALOR TOTAL PONDERADO]],"")</f>
        <v/>
      </c>
    </row>
    <row r="162" spans="2:21" hidden="1" x14ac:dyDescent="0.2">
      <c r="B162" s="13" t="s">
        <v>77</v>
      </c>
      <c r="C162" s="72">
        <v>46583</v>
      </c>
      <c r="D162" s="9" t="s">
        <v>78</v>
      </c>
      <c r="E162" s="11" t="str">
        <f>IF(tb_investimentos[[#This Row],[TIPO MOVIMENTAÇÃO]]="Aporte",_xlfn.XLOOKUP(tb_investimentos[[#This Row],[DESCRIÇÃO]],'INFO AÇÕES'!E:E,'INFO AÇÕES'!I:I),"BRL")</f>
        <v>BRL</v>
      </c>
      <c r="F162" s="75" t="s">
        <v>102</v>
      </c>
      <c r="G162" s="11">
        <v>1</v>
      </c>
      <c r="H162" s="12">
        <v>39.9</v>
      </c>
      <c r="I162" s="13" t="s">
        <v>107</v>
      </c>
      <c r="J162" s="51">
        <f t="shared" si="4"/>
        <v>39.9</v>
      </c>
      <c r="K162" s="13" t="s">
        <v>105</v>
      </c>
      <c r="L162">
        <f>MONTH(tb_investimentos[[#This Row],[DATA]])</f>
        <v>7</v>
      </c>
      <c r="M162">
        <f>YEAR(tb_investimentos[[#This Row],[DATA]])</f>
        <v>2027</v>
      </c>
      <c r="N162">
        <f>DAY(tb_investimentos[[#This Row],[DATA]])</f>
        <v>15</v>
      </c>
      <c r="O162">
        <f t="shared" si="5"/>
        <v>59.90000000000002</v>
      </c>
      <c r="P162">
        <f>tb_investimentos[[#This Row],[PREÇO MÉDIO PONDERADO]]*tb_investimentos[[#This Row],[QUANTIDADE]]</f>
        <v>59.90000000000002</v>
      </c>
      <c r="Q162" s="58" t="str">
        <f ca="1">IFERROR(_xlfn.XLOOKUP(tb_investimentos[[#This Row],[DESCRIÇÃO]],tb_acoes[Símbolo do ticker],tb_acoes[Preço]),"")</f>
        <v/>
      </c>
      <c r="R162" s="58" t="str">
        <f ca="1">IFERROR(tb_investimentos[[#This Row],[QUANTIDADE]]*tb_investimentos[[#This Row],[PREÇO MERCADO]],"")</f>
        <v/>
      </c>
      <c r="S162" s="58" t="str">
        <f ca="1">IFERROR(tb_investimentos[[#This Row],[VALOR TOTAL MERCADO]]-tb_investimentos[[#This Row],[VALOR TOTAL PONDERADO]],"")</f>
        <v/>
      </c>
      <c r="T162" s="58" t="str">
        <f ca="1">IFERROR(_xlfn.XLOOKUP(tb_investimentos[[#This Row],[DESCRIÇÃO]],'INFO AÇÕES'!E:E,'INFO AÇÕES'!H:H),"")</f>
        <v/>
      </c>
      <c r="U162" s="59" t="str">
        <f ca="1">IFERROR((tb_investimentos[[#This Row],[VALOR TOTAL MERCADO]]-tb_investimentos[[#This Row],[VALOR TOTAL PONDERADO]])/tb_investimentos[[#This Row],[VALOR TOTAL PONDERADO]],"")</f>
        <v/>
      </c>
    </row>
    <row r="163" spans="2:21" hidden="1" x14ac:dyDescent="0.2">
      <c r="B163" s="13" t="s">
        <v>77</v>
      </c>
      <c r="C163" s="72">
        <v>46583</v>
      </c>
      <c r="D163" s="9" t="s">
        <v>78</v>
      </c>
      <c r="E163" s="11" t="str">
        <f>IF(tb_investimentos[[#This Row],[TIPO MOVIMENTAÇÃO]]="Aporte",_xlfn.XLOOKUP(tb_investimentos[[#This Row],[DESCRIÇÃO]],'INFO AÇÕES'!E:E,'INFO AÇÕES'!I:I),"BRL")</f>
        <v>BRL</v>
      </c>
      <c r="F163" s="75" t="s">
        <v>101</v>
      </c>
      <c r="G163" s="11">
        <v>1</v>
      </c>
      <c r="H163" s="12">
        <v>79.900000000000006</v>
      </c>
      <c r="I163" s="13" t="s">
        <v>107</v>
      </c>
      <c r="J163" s="51">
        <f t="shared" si="4"/>
        <v>79.900000000000006</v>
      </c>
      <c r="K163" s="13" t="s">
        <v>105</v>
      </c>
      <c r="L163">
        <f>MONTH(tb_investimentos[[#This Row],[DATA]])</f>
        <v>7</v>
      </c>
      <c r="M163">
        <f>YEAR(tb_investimentos[[#This Row],[DATA]])</f>
        <v>2027</v>
      </c>
      <c r="N163">
        <f>DAY(tb_investimentos[[#This Row],[DATA]])</f>
        <v>15</v>
      </c>
      <c r="O163">
        <f t="shared" si="5"/>
        <v>59.90000000000002</v>
      </c>
      <c r="P163">
        <f>tb_investimentos[[#This Row],[PREÇO MÉDIO PONDERADO]]*tb_investimentos[[#This Row],[QUANTIDADE]]</f>
        <v>59.90000000000002</v>
      </c>
      <c r="Q163" s="58" t="str">
        <f ca="1">IFERROR(_xlfn.XLOOKUP(tb_investimentos[[#This Row],[DESCRIÇÃO]],tb_acoes[Símbolo do ticker],tb_acoes[Preço]),"")</f>
        <v/>
      </c>
      <c r="R163" s="58" t="str">
        <f ca="1">IFERROR(tb_investimentos[[#This Row],[QUANTIDADE]]*tb_investimentos[[#This Row],[PREÇO MERCADO]],"")</f>
        <v/>
      </c>
      <c r="S163" s="58" t="str">
        <f ca="1">IFERROR(tb_investimentos[[#This Row],[VALOR TOTAL MERCADO]]-tb_investimentos[[#This Row],[VALOR TOTAL PONDERADO]],"")</f>
        <v/>
      </c>
      <c r="T163" s="58" t="str">
        <f ca="1">IFERROR(_xlfn.XLOOKUP(tb_investimentos[[#This Row],[DESCRIÇÃO]],'INFO AÇÕES'!E:E,'INFO AÇÕES'!H:H),"")</f>
        <v/>
      </c>
      <c r="U163" s="59" t="str">
        <f ca="1">IFERROR((tb_investimentos[[#This Row],[VALOR TOTAL MERCADO]]-tb_investimentos[[#This Row],[VALOR TOTAL PONDERADO]])/tb_investimentos[[#This Row],[VALOR TOTAL PONDERADO]],"")</f>
        <v/>
      </c>
    </row>
    <row r="164" spans="2:21" hidden="1" x14ac:dyDescent="0.2">
      <c r="B164" s="13" t="s">
        <v>77</v>
      </c>
      <c r="C164" s="72">
        <v>46583</v>
      </c>
      <c r="D164" s="9" t="s">
        <v>79</v>
      </c>
      <c r="E164" s="11" t="str">
        <f>IF(tb_investimentos[[#This Row],[TIPO MOVIMENTAÇÃO]]="Aporte",_xlfn.XLOOKUP(tb_investimentos[[#This Row],[DESCRIÇÃO]],'INFO AÇÕES'!E:E,'INFO AÇÕES'!I:I),"BRL")</f>
        <v>BRL</v>
      </c>
      <c r="F164" s="75" t="s">
        <v>100</v>
      </c>
      <c r="G164" s="11">
        <v>1</v>
      </c>
      <c r="H164" s="12">
        <v>110</v>
      </c>
      <c r="I164" s="13" t="s">
        <v>107</v>
      </c>
      <c r="J164" s="51">
        <f t="shared" si="4"/>
        <v>110</v>
      </c>
      <c r="K164" s="13" t="s">
        <v>105</v>
      </c>
      <c r="L164">
        <f>MONTH(tb_investimentos[[#This Row],[DATA]])</f>
        <v>7</v>
      </c>
      <c r="M164">
        <f>YEAR(tb_investimentos[[#This Row],[DATA]])</f>
        <v>2027</v>
      </c>
      <c r="N164">
        <f>DAY(tb_investimentos[[#This Row],[DATA]])</f>
        <v>15</v>
      </c>
      <c r="O164">
        <f t="shared" si="5"/>
        <v>110</v>
      </c>
      <c r="P164">
        <f>tb_investimentos[[#This Row],[PREÇO MÉDIO PONDERADO]]*tb_investimentos[[#This Row],[QUANTIDADE]]</f>
        <v>110</v>
      </c>
      <c r="Q164" s="58" t="str">
        <f ca="1">IFERROR(_xlfn.XLOOKUP(tb_investimentos[[#This Row],[DESCRIÇÃO]],tb_acoes[Símbolo do ticker],tb_acoes[Preço]),"")</f>
        <v/>
      </c>
      <c r="R164" s="58" t="str">
        <f ca="1">IFERROR(tb_investimentos[[#This Row],[QUANTIDADE]]*tb_investimentos[[#This Row],[PREÇO MERCADO]],"")</f>
        <v/>
      </c>
      <c r="S164" s="58" t="str">
        <f ca="1">IFERROR(tb_investimentos[[#This Row],[VALOR TOTAL MERCADO]]-tb_investimentos[[#This Row],[VALOR TOTAL PONDERADO]],"")</f>
        <v/>
      </c>
      <c r="T164" s="58" t="str">
        <f ca="1">IFERROR(_xlfn.XLOOKUP(tb_investimentos[[#This Row],[DESCRIÇÃO]],'INFO AÇÕES'!E:E,'INFO AÇÕES'!H:H),"")</f>
        <v/>
      </c>
      <c r="U164" s="59" t="str">
        <f ca="1">IFERROR((tb_investimentos[[#This Row],[VALOR TOTAL MERCADO]]-tb_investimentos[[#This Row],[VALOR TOTAL PONDERADO]])/tb_investimentos[[#This Row],[VALOR TOTAL PONDERADO]],"")</f>
        <v/>
      </c>
    </row>
    <row r="165" spans="2:21" hidden="1" x14ac:dyDescent="0.2">
      <c r="B165" s="13" t="s">
        <v>77</v>
      </c>
      <c r="C165" s="10">
        <v>46583</v>
      </c>
      <c r="D165" s="9" t="s">
        <v>88</v>
      </c>
      <c r="E165" s="11" t="str">
        <f>IF(tb_investimentos[[#This Row],[TIPO MOVIMENTAÇÃO]]="Aporte",_xlfn.XLOOKUP(tb_investimentos[[#This Row],[DESCRIÇÃO]],'INFO AÇÕES'!E:E,'INFO AÇÕES'!I:I),"BRL")</f>
        <v>BRL</v>
      </c>
      <c r="F165" s="75" t="s">
        <v>91</v>
      </c>
      <c r="G165" s="11">
        <v>1</v>
      </c>
      <c r="H165" s="83">
        <v>1291.73614</v>
      </c>
      <c r="I165" s="13" t="s">
        <v>107</v>
      </c>
      <c r="J165" s="51">
        <f t="shared" si="4"/>
        <v>1291.73614</v>
      </c>
      <c r="K165" s="13" t="s">
        <v>105</v>
      </c>
      <c r="L165">
        <f>MONTH(tb_investimentos[[#This Row],[DATA]])</f>
        <v>7</v>
      </c>
      <c r="M165">
        <f>YEAR(tb_investimentos[[#This Row],[DATA]])</f>
        <v>2027</v>
      </c>
      <c r="N165">
        <f>DAY(tb_investimentos[[#This Row],[DATA]])</f>
        <v>15</v>
      </c>
      <c r="O165">
        <f t="shared" si="5"/>
        <v>1629.9930261538464</v>
      </c>
      <c r="P165">
        <f>tb_investimentos[[#This Row],[PREÇO MÉDIO PONDERADO]]*tb_investimentos[[#This Row],[QUANTIDADE]]</f>
        <v>1629.9930261538464</v>
      </c>
      <c r="Q165" s="58" t="str">
        <f ca="1">IFERROR(_xlfn.XLOOKUP(tb_investimentos[[#This Row],[DESCRIÇÃO]],tb_acoes[Símbolo do ticker],tb_acoes[Preço]),"")</f>
        <v/>
      </c>
      <c r="R165" s="58" t="str">
        <f ca="1">IFERROR(tb_investimentos[[#This Row],[QUANTIDADE]]*tb_investimentos[[#This Row],[PREÇO MERCADO]],"")</f>
        <v/>
      </c>
      <c r="S165" s="58" t="str">
        <f ca="1">IFERROR(tb_investimentos[[#This Row],[VALOR TOTAL MERCADO]]-tb_investimentos[[#This Row],[VALOR TOTAL PONDERADO]],"")</f>
        <v/>
      </c>
      <c r="T165" s="58" t="str">
        <f ca="1">IFERROR(_xlfn.XLOOKUP(tb_investimentos[[#This Row],[DESCRIÇÃO]],'INFO AÇÕES'!E:E,'INFO AÇÕES'!H:H),"")</f>
        <v/>
      </c>
      <c r="U165" s="59" t="str">
        <f ca="1">IFERROR((tb_investimentos[[#This Row],[VALOR TOTAL MERCADO]]-tb_investimentos[[#This Row],[VALOR TOTAL PONDERADO]])/tb_investimentos[[#This Row],[VALOR TOTAL PONDERADO]],"")</f>
        <v/>
      </c>
    </row>
    <row r="166" spans="2:21" hidden="1" x14ac:dyDescent="0.2">
      <c r="B166" s="13" t="s">
        <v>77</v>
      </c>
      <c r="C166" s="10">
        <v>46588</v>
      </c>
      <c r="D166" s="9" t="s">
        <v>94</v>
      </c>
      <c r="E166" s="11" t="str">
        <f>IF(tb_investimentos[[#This Row],[TIPO MOVIMENTAÇÃO]]="Aporte",_xlfn.XLOOKUP(tb_investimentos[[#This Row],[DESCRIÇÃO]],'INFO AÇÕES'!E:E,'INFO AÇÕES'!I:I),"BRL")</f>
        <v>BRL</v>
      </c>
      <c r="F166" s="75" t="s">
        <v>95</v>
      </c>
      <c r="G166" s="11">
        <v>1</v>
      </c>
      <c r="H166" s="12">
        <v>95</v>
      </c>
      <c r="I166" s="13" t="s">
        <v>107</v>
      </c>
      <c r="J166" s="51">
        <f t="shared" si="4"/>
        <v>95</v>
      </c>
      <c r="K166" s="13" t="s">
        <v>105</v>
      </c>
      <c r="L166">
        <f>MONTH(tb_investimentos[[#This Row],[DATA]])</f>
        <v>7</v>
      </c>
      <c r="M166">
        <f>YEAR(tb_investimentos[[#This Row],[DATA]])</f>
        <v>2027</v>
      </c>
      <c r="N166">
        <f>DAY(tb_investimentos[[#This Row],[DATA]])</f>
        <v>20</v>
      </c>
      <c r="O166">
        <f t="shared" si="5"/>
        <v>93.857142857142861</v>
      </c>
      <c r="P166">
        <f>tb_investimentos[[#This Row],[PREÇO MÉDIO PONDERADO]]*tb_investimentos[[#This Row],[QUANTIDADE]]</f>
        <v>93.857142857142861</v>
      </c>
      <c r="Q166" s="58" t="str">
        <f ca="1">IFERROR(_xlfn.XLOOKUP(tb_investimentos[[#This Row],[DESCRIÇÃO]],tb_acoes[Símbolo do ticker],tb_acoes[Preço]),"")</f>
        <v/>
      </c>
      <c r="R166" s="58" t="str">
        <f ca="1">IFERROR(tb_investimentos[[#This Row],[QUANTIDADE]]*tb_investimentos[[#This Row],[PREÇO MERCADO]],"")</f>
        <v/>
      </c>
      <c r="S166" s="58" t="str">
        <f ca="1">IFERROR(tb_investimentos[[#This Row],[VALOR TOTAL MERCADO]]-tb_investimentos[[#This Row],[VALOR TOTAL PONDERADO]],"")</f>
        <v/>
      </c>
      <c r="T166" s="58" t="str">
        <f ca="1">IFERROR(_xlfn.XLOOKUP(tb_investimentos[[#This Row],[DESCRIÇÃO]],'INFO AÇÕES'!E:E,'INFO AÇÕES'!H:H),"")</f>
        <v/>
      </c>
      <c r="U166" s="59" t="str">
        <f ca="1">IFERROR((tb_investimentos[[#This Row],[VALOR TOTAL MERCADO]]-tb_investimentos[[#This Row],[VALOR TOTAL PONDERADO]])/tb_investimentos[[#This Row],[VALOR TOTAL PONDERADO]],"")</f>
        <v/>
      </c>
    </row>
    <row r="167" spans="2:21" hidden="1" x14ac:dyDescent="0.2">
      <c r="B167" s="13" t="s">
        <v>77</v>
      </c>
      <c r="C167" s="10">
        <v>46592</v>
      </c>
      <c r="D167" s="9" t="s">
        <v>84</v>
      </c>
      <c r="E167" s="11" t="str">
        <f>IF(tb_investimentos[[#This Row],[TIPO MOVIMENTAÇÃO]]="Aporte",_xlfn.XLOOKUP(tb_investimentos[[#This Row],[DESCRIÇÃO]],'INFO AÇÕES'!E:E,'INFO AÇÕES'!I:I),"BRL")</f>
        <v>BRL</v>
      </c>
      <c r="F167" s="75" t="s">
        <v>83</v>
      </c>
      <c r="G167" s="11">
        <v>1</v>
      </c>
      <c r="H167" s="12">
        <v>650</v>
      </c>
      <c r="I167" s="13" t="s">
        <v>107</v>
      </c>
      <c r="J167" s="51">
        <f t="shared" si="4"/>
        <v>650</v>
      </c>
      <c r="K167" s="13" t="s">
        <v>105</v>
      </c>
      <c r="L167">
        <f>MONTH(tb_investimentos[[#This Row],[DATA]])</f>
        <v>7</v>
      </c>
      <c r="M167">
        <f>YEAR(tb_investimentos[[#This Row],[DATA]])</f>
        <v>2027</v>
      </c>
      <c r="N167">
        <f>DAY(tb_investimentos[[#This Row],[DATA]])</f>
        <v>24</v>
      </c>
      <c r="O167">
        <f t="shared" si="5"/>
        <v>650</v>
      </c>
      <c r="P167">
        <f>tb_investimentos[[#This Row],[PREÇO MÉDIO PONDERADO]]*tb_investimentos[[#This Row],[QUANTIDADE]]</f>
        <v>650</v>
      </c>
      <c r="Q167" s="58" t="str">
        <f ca="1">IFERROR(_xlfn.XLOOKUP(tb_investimentos[[#This Row],[DESCRIÇÃO]],tb_acoes[Símbolo do ticker],tb_acoes[Preço]),"")</f>
        <v/>
      </c>
      <c r="R167" s="58" t="str">
        <f ca="1">IFERROR(tb_investimentos[[#This Row],[QUANTIDADE]]*tb_investimentos[[#This Row],[PREÇO MERCADO]],"")</f>
        <v/>
      </c>
      <c r="S167" s="58" t="str">
        <f ca="1">IFERROR(tb_investimentos[[#This Row],[VALOR TOTAL MERCADO]]-tb_investimentos[[#This Row],[VALOR TOTAL PONDERADO]],"")</f>
        <v/>
      </c>
      <c r="T167" s="58" t="str">
        <f ca="1">IFERROR(_xlfn.XLOOKUP(tb_investimentos[[#This Row],[DESCRIÇÃO]],'INFO AÇÕES'!E:E,'INFO AÇÕES'!H:H),"")</f>
        <v/>
      </c>
      <c r="U167" s="59" t="str">
        <f ca="1">IFERROR((tb_investimentos[[#This Row],[VALOR TOTAL MERCADO]]-tb_investimentos[[#This Row],[VALOR TOTAL PONDERADO]])/tb_investimentos[[#This Row],[VALOR TOTAL PONDERADO]],"")</f>
        <v/>
      </c>
    </row>
    <row r="168" spans="2:21" hidden="1" x14ac:dyDescent="0.2">
      <c r="B168" s="13" t="s">
        <v>77</v>
      </c>
      <c r="C168" s="10">
        <v>46596</v>
      </c>
      <c r="D168" s="9" t="s">
        <v>82</v>
      </c>
      <c r="E168" s="11" t="str">
        <f>IF(tb_investimentos[[#This Row],[TIPO MOVIMENTAÇÃO]]="Aporte",_xlfn.XLOOKUP(tb_investimentos[[#This Row],[DESCRIÇÃO]],'INFO AÇÕES'!E:E,'INFO AÇÕES'!I:I),"BRL")</f>
        <v>BRL</v>
      </c>
      <c r="F168" s="75" t="s">
        <v>81</v>
      </c>
      <c r="G168" s="11">
        <v>1</v>
      </c>
      <c r="H168" s="12">
        <v>650</v>
      </c>
      <c r="I168" s="13" t="s">
        <v>107</v>
      </c>
      <c r="J168" s="51">
        <f t="shared" si="4"/>
        <v>650</v>
      </c>
      <c r="K168" s="13" t="s">
        <v>105</v>
      </c>
      <c r="L168">
        <f>MONTH(tb_investimentos[[#This Row],[DATA]])</f>
        <v>7</v>
      </c>
      <c r="M168">
        <f>YEAR(tb_investimentos[[#This Row],[DATA]])</f>
        <v>2027</v>
      </c>
      <c r="N168">
        <f>DAY(tb_investimentos[[#This Row],[DATA]])</f>
        <v>28</v>
      </c>
      <c r="O168">
        <f t="shared" si="5"/>
        <v>650</v>
      </c>
      <c r="P168">
        <f>tb_investimentos[[#This Row],[PREÇO MÉDIO PONDERADO]]*tb_investimentos[[#This Row],[QUANTIDADE]]</f>
        <v>650</v>
      </c>
      <c r="Q168" s="58" t="str">
        <f ca="1">IFERROR(_xlfn.XLOOKUP(tb_investimentos[[#This Row],[DESCRIÇÃO]],tb_acoes[Símbolo do ticker],tb_acoes[Preço]),"")</f>
        <v/>
      </c>
      <c r="R168" s="58" t="str">
        <f ca="1">IFERROR(tb_investimentos[[#This Row],[QUANTIDADE]]*tb_investimentos[[#This Row],[PREÇO MERCADO]],"")</f>
        <v/>
      </c>
      <c r="S168" s="58" t="str">
        <f ca="1">IFERROR(tb_investimentos[[#This Row],[VALOR TOTAL MERCADO]]-tb_investimentos[[#This Row],[VALOR TOTAL PONDERADO]],"")</f>
        <v/>
      </c>
      <c r="T168" s="58" t="str">
        <f ca="1">IFERROR(_xlfn.XLOOKUP(tb_investimentos[[#This Row],[DESCRIÇÃO]],'INFO AÇÕES'!E:E,'INFO AÇÕES'!H:H),"")</f>
        <v/>
      </c>
      <c r="U168" s="59" t="str">
        <f ca="1">IFERROR((tb_investimentos[[#This Row],[VALOR TOTAL MERCADO]]-tb_investimentos[[#This Row],[VALOR TOTAL PONDERADO]])/tb_investimentos[[#This Row],[VALOR TOTAL PONDERADO]],"")</f>
        <v/>
      </c>
    </row>
    <row r="169" spans="2:21" hidden="1" x14ac:dyDescent="0.2">
      <c r="B169" s="13" t="s">
        <v>72</v>
      </c>
      <c r="C169" s="72">
        <v>46604</v>
      </c>
      <c r="D169" s="9" t="s">
        <v>76</v>
      </c>
      <c r="E169" s="11" t="str">
        <f>IF(tb_investimentos[[#This Row],[TIPO MOVIMENTAÇÃO]]="Aporte",_xlfn.XLOOKUP(tb_investimentos[[#This Row],[DESCRIÇÃO]],'INFO AÇÕES'!E:E,'INFO AÇÕES'!I:I),"BRL")</f>
        <v>BRL</v>
      </c>
      <c r="F169" s="75" t="s">
        <v>73</v>
      </c>
      <c r="G169" s="11">
        <v>1</v>
      </c>
      <c r="H169" s="12">
        <v>8000</v>
      </c>
      <c r="I169" s="13" t="s">
        <v>107</v>
      </c>
      <c r="J169" s="51">
        <f t="shared" si="4"/>
        <v>8000</v>
      </c>
      <c r="K169" s="13" t="s">
        <v>105</v>
      </c>
      <c r="L169">
        <f>MONTH(tb_investimentos[[#This Row],[DATA]])</f>
        <v>8</v>
      </c>
      <c r="M169">
        <f>YEAR(tb_investimentos[[#This Row],[DATA]])</f>
        <v>2027</v>
      </c>
      <c r="N169">
        <f>DAY(tb_investimentos[[#This Row],[DATA]])</f>
        <v>5</v>
      </c>
      <c r="O169">
        <f t="shared" si="5"/>
        <v>7801.7948717948721</v>
      </c>
      <c r="P169">
        <f>tb_investimentos[[#This Row],[PREÇO MÉDIO PONDERADO]]*tb_investimentos[[#This Row],[QUANTIDADE]]</f>
        <v>7801.7948717948721</v>
      </c>
      <c r="Q169" s="58" t="str">
        <f ca="1">IFERROR(_xlfn.XLOOKUP(tb_investimentos[[#This Row],[DESCRIÇÃO]],tb_acoes[Símbolo do ticker],tb_acoes[Preço]),"")</f>
        <v/>
      </c>
      <c r="R169" s="58" t="str">
        <f ca="1">IFERROR(tb_investimentos[[#This Row],[QUANTIDADE]]*tb_investimentos[[#This Row],[PREÇO MERCADO]],"")</f>
        <v/>
      </c>
      <c r="S169" s="58" t="str">
        <f ca="1">IFERROR(tb_investimentos[[#This Row],[VALOR TOTAL MERCADO]]-tb_investimentos[[#This Row],[VALOR TOTAL PONDERADO]],"")</f>
        <v/>
      </c>
      <c r="T169" s="58" t="str">
        <f ca="1">IFERROR(_xlfn.XLOOKUP(tb_investimentos[[#This Row],[DESCRIÇÃO]],'INFO AÇÕES'!E:E,'INFO AÇÕES'!H:H),"")</f>
        <v/>
      </c>
      <c r="U169" s="59" t="str">
        <f ca="1">IFERROR((tb_investimentos[[#This Row],[VALOR TOTAL MERCADO]]-tb_investimentos[[#This Row],[VALOR TOTAL PONDERADO]])/tb_investimentos[[#This Row],[VALOR TOTAL PONDERADO]],"")</f>
        <v/>
      </c>
    </row>
    <row r="170" spans="2:21" hidden="1" x14ac:dyDescent="0.2">
      <c r="B170" s="13" t="s">
        <v>72</v>
      </c>
      <c r="C170" s="10">
        <v>46604</v>
      </c>
      <c r="D170" s="9" t="s">
        <v>75</v>
      </c>
      <c r="E170" s="11" t="str">
        <f>IF(tb_investimentos[[#This Row],[TIPO MOVIMENTAÇÃO]]="Aporte",_xlfn.XLOOKUP(tb_investimentos[[#This Row],[DESCRIÇÃO]],'INFO AÇÕES'!E:E,'INFO AÇÕES'!I:I),"BRL")</f>
        <v>BRL</v>
      </c>
      <c r="F170" s="75" t="s">
        <v>74</v>
      </c>
      <c r="G170" s="11">
        <v>1</v>
      </c>
      <c r="H170" s="12">
        <v>700</v>
      </c>
      <c r="I170" s="13" t="s">
        <v>107</v>
      </c>
      <c r="J170" s="51">
        <f t="shared" si="4"/>
        <v>700</v>
      </c>
      <c r="K170" s="13" t="s">
        <v>105</v>
      </c>
      <c r="L170">
        <f>MONTH(tb_investimentos[[#This Row],[DATA]])</f>
        <v>8</v>
      </c>
      <c r="M170">
        <f>YEAR(tb_investimentos[[#This Row],[DATA]])</f>
        <v>2027</v>
      </c>
      <c r="N170">
        <f>DAY(tb_investimentos[[#This Row],[DATA]])</f>
        <v>5</v>
      </c>
      <c r="O170">
        <f t="shared" si="5"/>
        <v>770</v>
      </c>
      <c r="P170">
        <f>tb_investimentos[[#This Row],[PREÇO MÉDIO PONDERADO]]*tb_investimentos[[#This Row],[QUANTIDADE]]</f>
        <v>770</v>
      </c>
      <c r="Q170" s="58" t="str">
        <f ca="1">IFERROR(_xlfn.XLOOKUP(tb_investimentos[[#This Row],[DESCRIÇÃO]],tb_acoes[Símbolo do ticker],tb_acoes[Preço]),"")</f>
        <v/>
      </c>
      <c r="R170" s="58" t="str">
        <f ca="1">IFERROR(tb_investimentos[[#This Row],[QUANTIDADE]]*tb_investimentos[[#This Row],[PREÇO MERCADO]],"")</f>
        <v/>
      </c>
      <c r="S170" s="58" t="str">
        <f ca="1">IFERROR(tb_investimentos[[#This Row],[VALOR TOTAL MERCADO]]-tb_investimentos[[#This Row],[VALOR TOTAL PONDERADO]],"")</f>
        <v/>
      </c>
      <c r="T170" s="58" t="str">
        <f ca="1">IFERROR(_xlfn.XLOOKUP(tb_investimentos[[#This Row],[DESCRIÇÃO]],'INFO AÇÕES'!E:E,'INFO AÇÕES'!H:H),"")</f>
        <v/>
      </c>
      <c r="U170" s="59" t="str">
        <f ca="1">IFERROR((tb_investimentos[[#This Row],[VALOR TOTAL MERCADO]]-tb_investimentos[[#This Row],[VALOR TOTAL PONDERADO]])/tb_investimentos[[#This Row],[VALOR TOTAL PONDERADO]],"")</f>
        <v/>
      </c>
    </row>
    <row r="171" spans="2:21" hidden="1" x14ac:dyDescent="0.2">
      <c r="B171" s="13" t="s">
        <v>39</v>
      </c>
      <c r="C171" s="10">
        <v>46604</v>
      </c>
      <c r="D171" s="9"/>
      <c r="E171" s="11">
        <f ca="1">IF(tb_investimentos[[#This Row],[TIPO MOVIMENTAÇÃO]]="Aporte",_xlfn.XLOOKUP(tb_investimentos[[#This Row],[DESCRIÇÃO]],'INFO AÇÕES'!E:E,'INFO AÇÕES'!I:I),"BRL")</f>
        <v>0</v>
      </c>
      <c r="F171" s="73" t="s">
        <v>10</v>
      </c>
      <c r="G171" s="11">
        <v>1</v>
      </c>
      <c r="H171" s="12">
        <v>2500</v>
      </c>
      <c r="I171" s="13" t="s">
        <v>58</v>
      </c>
      <c r="J171" s="51">
        <f t="shared" si="4"/>
        <v>2500</v>
      </c>
      <c r="K171" s="11" t="s">
        <v>105</v>
      </c>
      <c r="L171">
        <f>MONTH(tb_investimentos[[#This Row],[DATA]])</f>
        <v>8</v>
      </c>
      <c r="M171">
        <f>YEAR(tb_investimentos[[#This Row],[DATA]])</f>
        <v>2027</v>
      </c>
      <c r="N171">
        <f>DAY(tb_investimentos[[#This Row],[DATA]])</f>
        <v>5</v>
      </c>
      <c r="O171" t="e">
        <f t="shared" si="5"/>
        <v>#DIV/0!</v>
      </c>
      <c r="P171" t="e">
        <f>tb_investimentos[[#This Row],[PREÇO MÉDIO PONDERADO]]*tb_investimentos[[#This Row],[QUANTIDADE]]</f>
        <v>#DIV/0!</v>
      </c>
      <c r="Q171" s="58" t="str">
        <f ca="1">IFERROR(_xlfn.XLOOKUP(tb_investimentos[[#This Row],[DESCRIÇÃO]],tb_acoes[Símbolo do ticker],tb_acoes[Preço]),"")</f>
        <v/>
      </c>
      <c r="R171" s="58" t="str">
        <f ca="1">IFERROR(tb_investimentos[[#This Row],[QUANTIDADE]]*tb_investimentos[[#This Row],[PREÇO MERCADO]],"")</f>
        <v/>
      </c>
      <c r="S171" s="58" t="str">
        <f ca="1">IFERROR(tb_investimentos[[#This Row],[VALOR TOTAL MERCADO]]-tb_investimentos[[#This Row],[VALOR TOTAL PONDERADO]],"")</f>
        <v/>
      </c>
      <c r="T171" s="58" t="str">
        <f ca="1">IFERROR(_xlfn.XLOOKUP(tb_investimentos[[#This Row],[DESCRIÇÃO]],'INFO AÇÕES'!E:E,'INFO AÇÕES'!H:H),"")</f>
        <v/>
      </c>
      <c r="U171" s="59" t="str">
        <f ca="1">IFERROR((tb_investimentos[[#This Row],[VALOR TOTAL MERCADO]]-tb_investimentos[[#This Row],[VALOR TOTAL PONDERADO]])/tb_investimentos[[#This Row],[VALOR TOTAL PONDERADO]],"")</f>
        <v/>
      </c>
    </row>
    <row r="172" spans="2:21" hidden="1" x14ac:dyDescent="0.2">
      <c r="B172" s="13" t="s">
        <v>77</v>
      </c>
      <c r="C172" s="10">
        <v>46607</v>
      </c>
      <c r="D172" s="9" t="s">
        <v>80</v>
      </c>
      <c r="E172" s="11" t="str">
        <f>IF(tb_investimentos[[#This Row],[TIPO MOVIMENTAÇÃO]]="Aporte",_xlfn.XLOOKUP(tb_investimentos[[#This Row],[DESCRIÇÃO]],'INFO AÇÕES'!E:E,'INFO AÇÕES'!I:I),"BRL")</f>
        <v>BRL</v>
      </c>
      <c r="F172" s="75" t="s">
        <v>99</v>
      </c>
      <c r="G172" s="11">
        <v>1</v>
      </c>
      <c r="H172" s="12">
        <v>25</v>
      </c>
      <c r="I172" s="13" t="s">
        <v>107</v>
      </c>
      <c r="J172" s="51">
        <f t="shared" si="4"/>
        <v>25</v>
      </c>
      <c r="K172" s="13" t="s">
        <v>105</v>
      </c>
      <c r="L172">
        <f>MONTH(tb_investimentos[[#This Row],[DATA]])</f>
        <v>8</v>
      </c>
      <c r="M172">
        <f>YEAR(tb_investimentos[[#This Row],[DATA]])</f>
        <v>2027</v>
      </c>
      <c r="N172">
        <f>DAY(tb_investimentos[[#This Row],[DATA]])</f>
        <v>8</v>
      </c>
      <c r="O172">
        <f t="shared" si="5"/>
        <v>25</v>
      </c>
      <c r="P172">
        <f>tb_investimentos[[#This Row],[PREÇO MÉDIO PONDERADO]]*tb_investimentos[[#This Row],[QUANTIDADE]]</f>
        <v>25</v>
      </c>
      <c r="Q172" s="58" t="str">
        <f ca="1">IFERROR(_xlfn.XLOOKUP(tb_investimentos[[#This Row],[DESCRIÇÃO]],tb_acoes[Símbolo do ticker],tb_acoes[Preço]),"")</f>
        <v/>
      </c>
      <c r="R172" s="58" t="str">
        <f ca="1">IFERROR(tb_investimentos[[#This Row],[QUANTIDADE]]*tb_investimentos[[#This Row],[PREÇO MERCADO]],"")</f>
        <v/>
      </c>
      <c r="S172" s="58" t="str">
        <f ca="1">IFERROR(tb_investimentos[[#This Row],[VALOR TOTAL MERCADO]]-tb_investimentos[[#This Row],[VALOR TOTAL PONDERADO]],"")</f>
        <v/>
      </c>
      <c r="T172" s="58" t="str">
        <f ca="1">IFERROR(_xlfn.XLOOKUP(tb_investimentos[[#This Row],[DESCRIÇÃO]],'INFO AÇÕES'!E:E,'INFO AÇÕES'!H:H),"")</f>
        <v/>
      </c>
      <c r="U172" s="59" t="str">
        <f ca="1">IFERROR((tb_investimentos[[#This Row],[VALOR TOTAL MERCADO]]-tb_investimentos[[#This Row],[VALOR TOTAL PONDERADO]])/tb_investimentos[[#This Row],[VALOR TOTAL PONDERADO]],"")</f>
        <v/>
      </c>
    </row>
    <row r="173" spans="2:21" hidden="1" x14ac:dyDescent="0.2">
      <c r="B173" s="13" t="s">
        <v>77</v>
      </c>
      <c r="C173" s="10">
        <v>46607</v>
      </c>
      <c r="D173" s="9" t="s">
        <v>92</v>
      </c>
      <c r="E173" s="11" t="str">
        <f>IF(tb_investimentos[[#This Row],[TIPO MOVIMENTAÇÃO]]="Aporte",_xlfn.XLOOKUP(tb_investimentos[[#This Row],[DESCRIÇÃO]],'INFO AÇÕES'!E:E,'INFO AÇÕES'!I:I),"BRL")</f>
        <v>BRL</v>
      </c>
      <c r="F173" s="75" t="s">
        <v>93</v>
      </c>
      <c r="G173" s="11">
        <v>1</v>
      </c>
      <c r="H173" s="12">
        <v>205</v>
      </c>
      <c r="I173" s="13" t="s">
        <v>107</v>
      </c>
      <c r="J173" s="51">
        <f t="shared" si="4"/>
        <v>205</v>
      </c>
      <c r="K173" s="13" t="s">
        <v>105</v>
      </c>
      <c r="L173">
        <f>MONTH(tb_investimentos[[#This Row],[DATA]])</f>
        <v>8</v>
      </c>
      <c r="M173">
        <f>YEAR(tb_investimentos[[#This Row],[DATA]])</f>
        <v>2027</v>
      </c>
      <c r="N173">
        <f>DAY(tb_investimentos[[#This Row],[DATA]])</f>
        <v>8</v>
      </c>
      <c r="O173">
        <f t="shared" si="5"/>
        <v>205</v>
      </c>
      <c r="P173">
        <f>tb_investimentos[[#This Row],[PREÇO MÉDIO PONDERADO]]*tb_investimentos[[#This Row],[QUANTIDADE]]</f>
        <v>205</v>
      </c>
      <c r="Q173" s="58" t="str">
        <f ca="1">IFERROR(_xlfn.XLOOKUP(tb_investimentos[[#This Row],[DESCRIÇÃO]],tb_acoes[Símbolo do ticker],tb_acoes[Preço]),"")</f>
        <v/>
      </c>
      <c r="R173" s="58" t="str">
        <f ca="1">IFERROR(tb_investimentos[[#This Row],[QUANTIDADE]]*tb_investimentos[[#This Row],[PREÇO MERCADO]],"")</f>
        <v/>
      </c>
      <c r="S173" s="58" t="str">
        <f ca="1">IFERROR(tb_investimentos[[#This Row],[VALOR TOTAL MERCADO]]-tb_investimentos[[#This Row],[VALOR TOTAL PONDERADO]],"")</f>
        <v/>
      </c>
      <c r="T173" s="58" t="str">
        <f ca="1">IFERROR(_xlfn.XLOOKUP(tb_investimentos[[#This Row],[DESCRIÇÃO]],'INFO AÇÕES'!E:E,'INFO AÇÕES'!H:H),"")</f>
        <v/>
      </c>
      <c r="U173" s="59" t="str">
        <f ca="1">IFERROR((tb_investimentos[[#This Row],[VALOR TOTAL MERCADO]]-tb_investimentos[[#This Row],[VALOR TOTAL PONDERADO]])/tb_investimentos[[#This Row],[VALOR TOTAL PONDERADO]],"")</f>
        <v/>
      </c>
    </row>
    <row r="174" spans="2:21" hidden="1" x14ac:dyDescent="0.2">
      <c r="B174" s="13" t="s">
        <v>77</v>
      </c>
      <c r="C174" s="10">
        <v>46609</v>
      </c>
      <c r="D174" s="9" t="s">
        <v>85</v>
      </c>
      <c r="E174" s="11" t="str">
        <f>IF(tb_investimentos[[#This Row],[TIPO MOVIMENTAÇÃO]]="Aporte",_xlfn.XLOOKUP(tb_investimentos[[#This Row],[DESCRIÇÃO]],'INFO AÇÕES'!E:E,'INFO AÇÕES'!I:I),"BRL")</f>
        <v>BRL</v>
      </c>
      <c r="F174" s="75" t="s">
        <v>104</v>
      </c>
      <c r="G174" s="11">
        <v>1</v>
      </c>
      <c r="H174" s="12">
        <v>95</v>
      </c>
      <c r="I174" s="13" t="s">
        <v>107</v>
      </c>
      <c r="J174" s="51">
        <f t="shared" si="4"/>
        <v>95</v>
      </c>
      <c r="K174" s="13" t="s">
        <v>105</v>
      </c>
      <c r="L174">
        <f>MONTH(tb_investimentos[[#This Row],[DATA]])</f>
        <v>8</v>
      </c>
      <c r="M174">
        <f>YEAR(tb_investimentos[[#This Row],[DATA]])</f>
        <v>2027</v>
      </c>
      <c r="N174">
        <f>DAY(tb_investimentos[[#This Row],[DATA]])</f>
        <v>10</v>
      </c>
      <c r="O174">
        <f t="shared" si="5"/>
        <v>95</v>
      </c>
      <c r="P174">
        <f>tb_investimentos[[#This Row],[PREÇO MÉDIO PONDERADO]]*tb_investimentos[[#This Row],[QUANTIDADE]]</f>
        <v>95</v>
      </c>
      <c r="Q174" s="58" t="str">
        <f ca="1">IFERROR(_xlfn.XLOOKUP(tb_investimentos[[#This Row],[DESCRIÇÃO]],tb_acoes[Símbolo do ticker],tb_acoes[Preço]),"")</f>
        <v/>
      </c>
      <c r="R174" s="58" t="str">
        <f ca="1">IFERROR(tb_investimentos[[#This Row],[QUANTIDADE]]*tb_investimentos[[#This Row],[PREÇO MERCADO]],"")</f>
        <v/>
      </c>
      <c r="S174" s="58" t="str">
        <f ca="1">IFERROR(tb_investimentos[[#This Row],[VALOR TOTAL MERCADO]]-tb_investimentos[[#This Row],[VALOR TOTAL PONDERADO]],"")</f>
        <v/>
      </c>
      <c r="T174" s="58" t="str">
        <f ca="1">IFERROR(_xlfn.XLOOKUP(tb_investimentos[[#This Row],[DESCRIÇÃO]],'INFO AÇÕES'!E:E,'INFO AÇÕES'!H:H),"")</f>
        <v/>
      </c>
      <c r="U174" s="59" t="str">
        <f ca="1">IFERROR((tb_investimentos[[#This Row],[VALOR TOTAL MERCADO]]-tb_investimentos[[#This Row],[VALOR TOTAL PONDERADO]])/tb_investimentos[[#This Row],[VALOR TOTAL PONDERADO]],"")</f>
        <v/>
      </c>
    </row>
    <row r="175" spans="2:21" hidden="1" x14ac:dyDescent="0.2">
      <c r="B175" s="13" t="s">
        <v>77</v>
      </c>
      <c r="C175" s="10">
        <v>46611</v>
      </c>
      <c r="D175" s="9" t="s">
        <v>89</v>
      </c>
      <c r="E175" s="11" t="str">
        <f>IF(tb_investimentos[[#This Row],[TIPO MOVIMENTAÇÃO]]="Aporte",_xlfn.XLOOKUP(tb_investimentos[[#This Row],[DESCRIÇÃO]],'INFO AÇÕES'!E:E,'INFO AÇÕES'!I:I),"BRL")</f>
        <v>BRL</v>
      </c>
      <c r="F175" s="75" t="s">
        <v>90</v>
      </c>
      <c r="G175" s="11">
        <v>1</v>
      </c>
      <c r="H175" s="12">
        <v>16.899999999999999</v>
      </c>
      <c r="I175" s="13" t="s">
        <v>107</v>
      </c>
      <c r="J175" s="51">
        <f t="shared" si="4"/>
        <v>16.899999999999999</v>
      </c>
      <c r="K175" s="13" t="s">
        <v>105</v>
      </c>
      <c r="L175">
        <f>MONTH(tb_investimentos[[#This Row],[DATA]])</f>
        <v>8</v>
      </c>
      <c r="M175">
        <f>YEAR(tb_investimentos[[#This Row],[DATA]])</f>
        <v>2027</v>
      </c>
      <c r="N175">
        <f>DAY(tb_investimentos[[#This Row],[DATA]])</f>
        <v>12</v>
      </c>
      <c r="O175">
        <f t="shared" si="5"/>
        <v>137.33453714285722</v>
      </c>
      <c r="P175">
        <f>tb_investimentos[[#This Row],[PREÇO MÉDIO PONDERADO]]*tb_investimentos[[#This Row],[QUANTIDADE]]</f>
        <v>137.33453714285722</v>
      </c>
      <c r="Q175" s="58" t="str">
        <f ca="1">IFERROR(_xlfn.XLOOKUP(tb_investimentos[[#This Row],[DESCRIÇÃO]],tb_acoes[Símbolo do ticker],tb_acoes[Preço]),"")</f>
        <v/>
      </c>
      <c r="R175" s="58" t="str">
        <f ca="1">IFERROR(tb_investimentos[[#This Row],[QUANTIDADE]]*tb_investimentos[[#This Row],[PREÇO MERCADO]],"")</f>
        <v/>
      </c>
      <c r="S175" s="58" t="str">
        <f ca="1">IFERROR(tb_investimentos[[#This Row],[VALOR TOTAL MERCADO]]-tb_investimentos[[#This Row],[VALOR TOTAL PONDERADO]],"")</f>
        <v/>
      </c>
      <c r="T175" s="58" t="str">
        <f ca="1">IFERROR(_xlfn.XLOOKUP(tb_investimentos[[#This Row],[DESCRIÇÃO]],'INFO AÇÕES'!E:E,'INFO AÇÕES'!H:H),"")</f>
        <v/>
      </c>
      <c r="U175" s="59" t="str">
        <f ca="1">IFERROR((tb_investimentos[[#This Row],[VALOR TOTAL MERCADO]]-tb_investimentos[[#This Row],[VALOR TOTAL PONDERADO]])/tb_investimentos[[#This Row],[VALOR TOTAL PONDERADO]],"")</f>
        <v/>
      </c>
    </row>
    <row r="176" spans="2:21" hidden="1" x14ac:dyDescent="0.2">
      <c r="B176" s="13" t="s">
        <v>77</v>
      </c>
      <c r="C176" s="72">
        <v>46614</v>
      </c>
      <c r="D176" s="9" t="s">
        <v>78</v>
      </c>
      <c r="E176" s="11" t="str">
        <f>IF(tb_investimentos[[#This Row],[TIPO MOVIMENTAÇÃO]]="Aporte",_xlfn.XLOOKUP(tb_investimentos[[#This Row],[DESCRIÇÃO]],'INFO AÇÕES'!E:E,'INFO AÇÕES'!I:I),"BRL")</f>
        <v>BRL</v>
      </c>
      <c r="F176" s="75" t="s">
        <v>102</v>
      </c>
      <c r="G176" s="11">
        <v>1</v>
      </c>
      <c r="H176" s="12">
        <v>39.9</v>
      </c>
      <c r="I176" s="13" t="s">
        <v>107</v>
      </c>
      <c r="J176" s="51">
        <f t="shared" si="4"/>
        <v>39.9</v>
      </c>
      <c r="K176" s="13" t="s">
        <v>105</v>
      </c>
      <c r="L176">
        <f>MONTH(tb_investimentos[[#This Row],[DATA]])</f>
        <v>8</v>
      </c>
      <c r="M176">
        <f>YEAR(tb_investimentos[[#This Row],[DATA]])</f>
        <v>2027</v>
      </c>
      <c r="N176">
        <f>DAY(tb_investimentos[[#This Row],[DATA]])</f>
        <v>15</v>
      </c>
      <c r="O176">
        <f t="shared" si="5"/>
        <v>59.90000000000002</v>
      </c>
      <c r="P176">
        <f>tb_investimentos[[#This Row],[PREÇO MÉDIO PONDERADO]]*tb_investimentos[[#This Row],[QUANTIDADE]]</f>
        <v>59.90000000000002</v>
      </c>
      <c r="Q176" s="58" t="str">
        <f ca="1">IFERROR(_xlfn.XLOOKUP(tb_investimentos[[#This Row],[DESCRIÇÃO]],tb_acoes[Símbolo do ticker],tb_acoes[Preço]),"")</f>
        <v/>
      </c>
      <c r="R176" s="58" t="str">
        <f ca="1">IFERROR(tb_investimentos[[#This Row],[QUANTIDADE]]*tb_investimentos[[#This Row],[PREÇO MERCADO]],"")</f>
        <v/>
      </c>
      <c r="S176" s="58" t="str">
        <f ca="1">IFERROR(tb_investimentos[[#This Row],[VALOR TOTAL MERCADO]]-tb_investimentos[[#This Row],[VALOR TOTAL PONDERADO]],"")</f>
        <v/>
      </c>
      <c r="T176" s="58" t="str">
        <f ca="1">IFERROR(_xlfn.XLOOKUP(tb_investimentos[[#This Row],[DESCRIÇÃO]],'INFO AÇÕES'!E:E,'INFO AÇÕES'!H:H),"")</f>
        <v/>
      </c>
      <c r="U176" s="59" t="str">
        <f ca="1">IFERROR((tb_investimentos[[#This Row],[VALOR TOTAL MERCADO]]-tb_investimentos[[#This Row],[VALOR TOTAL PONDERADO]])/tb_investimentos[[#This Row],[VALOR TOTAL PONDERADO]],"")</f>
        <v/>
      </c>
    </row>
    <row r="177" spans="2:21" hidden="1" x14ac:dyDescent="0.2">
      <c r="B177" s="13" t="s">
        <v>77</v>
      </c>
      <c r="C177" s="72">
        <v>46614</v>
      </c>
      <c r="D177" s="9" t="s">
        <v>78</v>
      </c>
      <c r="E177" s="11" t="str">
        <f>IF(tb_investimentos[[#This Row],[TIPO MOVIMENTAÇÃO]]="Aporte",_xlfn.XLOOKUP(tb_investimentos[[#This Row],[DESCRIÇÃO]],'INFO AÇÕES'!E:E,'INFO AÇÕES'!I:I),"BRL")</f>
        <v>BRL</v>
      </c>
      <c r="F177" s="75" t="s">
        <v>101</v>
      </c>
      <c r="G177" s="11">
        <v>1</v>
      </c>
      <c r="H177" s="12">
        <v>79.900000000000006</v>
      </c>
      <c r="I177" s="13" t="s">
        <v>107</v>
      </c>
      <c r="J177" s="51">
        <f t="shared" si="4"/>
        <v>79.900000000000006</v>
      </c>
      <c r="K177" s="13" t="s">
        <v>105</v>
      </c>
      <c r="L177">
        <f>MONTH(tb_investimentos[[#This Row],[DATA]])</f>
        <v>8</v>
      </c>
      <c r="M177">
        <f>YEAR(tb_investimentos[[#This Row],[DATA]])</f>
        <v>2027</v>
      </c>
      <c r="N177">
        <f>DAY(tb_investimentos[[#This Row],[DATA]])</f>
        <v>15</v>
      </c>
      <c r="O177">
        <f t="shared" si="5"/>
        <v>59.90000000000002</v>
      </c>
      <c r="P177">
        <f>tb_investimentos[[#This Row],[PREÇO MÉDIO PONDERADO]]*tb_investimentos[[#This Row],[QUANTIDADE]]</f>
        <v>59.90000000000002</v>
      </c>
      <c r="Q177" s="58" t="str">
        <f ca="1">IFERROR(_xlfn.XLOOKUP(tb_investimentos[[#This Row],[DESCRIÇÃO]],tb_acoes[Símbolo do ticker],tb_acoes[Preço]),"")</f>
        <v/>
      </c>
      <c r="R177" s="58" t="str">
        <f ca="1">IFERROR(tb_investimentos[[#This Row],[QUANTIDADE]]*tb_investimentos[[#This Row],[PREÇO MERCADO]],"")</f>
        <v/>
      </c>
      <c r="S177" s="58" t="str">
        <f ca="1">IFERROR(tb_investimentos[[#This Row],[VALOR TOTAL MERCADO]]-tb_investimentos[[#This Row],[VALOR TOTAL PONDERADO]],"")</f>
        <v/>
      </c>
      <c r="T177" s="58" t="str">
        <f ca="1">IFERROR(_xlfn.XLOOKUP(tb_investimentos[[#This Row],[DESCRIÇÃO]],'INFO AÇÕES'!E:E,'INFO AÇÕES'!H:H),"")</f>
        <v/>
      </c>
      <c r="U177" s="59" t="str">
        <f ca="1">IFERROR((tb_investimentos[[#This Row],[VALOR TOTAL MERCADO]]-tb_investimentos[[#This Row],[VALOR TOTAL PONDERADO]])/tb_investimentos[[#This Row],[VALOR TOTAL PONDERADO]],"")</f>
        <v/>
      </c>
    </row>
    <row r="178" spans="2:21" hidden="1" x14ac:dyDescent="0.2">
      <c r="B178" s="13" t="s">
        <v>77</v>
      </c>
      <c r="C178" s="72">
        <v>46614</v>
      </c>
      <c r="D178" s="9" t="s">
        <v>79</v>
      </c>
      <c r="E178" s="11" t="str">
        <f>IF(tb_investimentos[[#This Row],[TIPO MOVIMENTAÇÃO]]="Aporte",_xlfn.XLOOKUP(tb_investimentos[[#This Row],[DESCRIÇÃO]],'INFO AÇÕES'!E:E,'INFO AÇÕES'!I:I),"BRL")</f>
        <v>BRL</v>
      </c>
      <c r="F178" s="75" t="s">
        <v>100</v>
      </c>
      <c r="G178" s="11">
        <v>1</v>
      </c>
      <c r="H178" s="12">
        <v>110</v>
      </c>
      <c r="I178" s="13" t="s">
        <v>107</v>
      </c>
      <c r="J178" s="51">
        <f t="shared" si="4"/>
        <v>110</v>
      </c>
      <c r="K178" s="13" t="s">
        <v>105</v>
      </c>
      <c r="L178">
        <f>MONTH(tb_investimentos[[#This Row],[DATA]])</f>
        <v>8</v>
      </c>
      <c r="M178">
        <f>YEAR(tb_investimentos[[#This Row],[DATA]])</f>
        <v>2027</v>
      </c>
      <c r="N178">
        <f>DAY(tb_investimentos[[#This Row],[DATA]])</f>
        <v>15</v>
      </c>
      <c r="O178">
        <f t="shared" si="5"/>
        <v>110</v>
      </c>
      <c r="P178">
        <f>tb_investimentos[[#This Row],[PREÇO MÉDIO PONDERADO]]*tb_investimentos[[#This Row],[QUANTIDADE]]</f>
        <v>110</v>
      </c>
      <c r="Q178" s="58" t="str">
        <f ca="1">IFERROR(_xlfn.XLOOKUP(tb_investimentos[[#This Row],[DESCRIÇÃO]],tb_acoes[Símbolo do ticker],tb_acoes[Preço]),"")</f>
        <v/>
      </c>
      <c r="R178" s="58" t="str">
        <f ca="1">IFERROR(tb_investimentos[[#This Row],[QUANTIDADE]]*tb_investimentos[[#This Row],[PREÇO MERCADO]],"")</f>
        <v/>
      </c>
      <c r="S178" s="58" t="str">
        <f ca="1">IFERROR(tb_investimentos[[#This Row],[VALOR TOTAL MERCADO]]-tb_investimentos[[#This Row],[VALOR TOTAL PONDERADO]],"")</f>
        <v/>
      </c>
      <c r="T178" s="58" t="str">
        <f ca="1">IFERROR(_xlfn.XLOOKUP(tb_investimentos[[#This Row],[DESCRIÇÃO]],'INFO AÇÕES'!E:E,'INFO AÇÕES'!H:H),"")</f>
        <v/>
      </c>
      <c r="U178" s="59" t="str">
        <f ca="1">IFERROR((tb_investimentos[[#This Row],[VALOR TOTAL MERCADO]]-tb_investimentos[[#This Row],[VALOR TOTAL PONDERADO]])/tb_investimentos[[#This Row],[VALOR TOTAL PONDERADO]],"")</f>
        <v/>
      </c>
    </row>
    <row r="179" spans="2:21" hidden="1" x14ac:dyDescent="0.2">
      <c r="B179" s="13" t="s">
        <v>77</v>
      </c>
      <c r="C179" s="10">
        <v>46614</v>
      </c>
      <c r="D179" s="9" t="s">
        <v>88</v>
      </c>
      <c r="E179" s="11" t="str">
        <f>IF(tb_investimentos[[#This Row],[TIPO MOVIMENTAÇÃO]]="Aporte",_xlfn.XLOOKUP(tb_investimentos[[#This Row],[DESCRIÇÃO]],'INFO AÇÕES'!E:E,'INFO AÇÕES'!I:I),"BRL")</f>
        <v>BRL</v>
      </c>
      <c r="F179" s="75" t="s">
        <v>91</v>
      </c>
      <c r="G179" s="11">
        <v>1</v>
      </c>
      <c r="H179" s="83">
        <v>1346.3369399999999</v>
      </c>
      <c r="I179" s="13" t="s">
        <v>107</v>
      </c>
      <c r="J179" s="51">
        <f t="shared" si="4"/>
        <v>1346.3369399999999</v>
      </c>
      <c r="K179" s="13" t="s">
        <v>105</v>
      </c>
      <c r="L179">
        <f>MONTH(tb_investimentos[[#This Row],[DATA]])</f>
        <v>8</v>
      </c>
      <c r="M179">
        <f>YEAR(tb_investimentos[[#This Row],[DATA]])</f>
        <v>2027</v>
      </c>
      <c r="N179">
        <f>DAY(tb_investimentos[[#This Row],[DATA]])</f>
        <v>15</v>
      </c>
      <c r="O179">
        <f t="shared" si="5"/>
        <v>1629.9930261538464</v>
      </c>
      <c r="P179">
        <f>tb_investimentos[[#This Row],[PREÇO MÉDIO PONDERADO]]*tb_investimentos[[#This Row],[QUANTIDADE]]</f>
        <v>1629.9930261538464</v>
      </c>
      <c r="Q179" s="58" t="str">
        <f ca="1">IFERROR(_xlfn.XLOOKUP(tb_investimentos[[#This Row],[DESCRIÇÃO]],tb_acoes[Símbolo do ticker],tb_acoes[Preço]),"")</f>
        <v/>
      </c>
      <c r="R179" s="58" t="str">
        <f ca="1">IFERROR(tb_investimentos[[#This Row],[QUANTIDADE]]*tb_investimentos[[#This Row],[PREÇO MERCADO]],"")</f>
        <v/>
      </c>
      <c r="S179" s="58" t="str">
        <f ca="1">IFERROR(tb_investimentos[[#This Row],[VALOR TOTAL MERCADO]]-tb_investimentos[[#This Row],[VALOR TOTAL PONDERADO]],"")</f>
        <v/>
      </c>
      <c r="T179" s="58" t="str">
        <f ca="1">IFERROR(_xlfn.XLOOKUP(tb_investimentos[[#This Row],[DESCRIÇÃO]],'INFO AÇÕES'!E:E,'INFO AÇÕES'!H:H),"")</f>
        <v/>
      </c>
      <c r="U179" s="59" t="str">
        <f ca="1">IFERROR((tb_investimentos[[#This Row],[VALOR TOTAL MERCADO]]-tb_investimentos[[#This Row],[VALOR TOTAL PONDERADO]])/tb_investimentos[[#This Row],[VALOR TOTAL PONDERADO]],"")</f>
        <v/>
      </c>
    </row>
    <row r="180" spans="2:21" hidden="1" x14ac:dyDescent="0.2">
      <c r="B180" s="13" t="s">
        <v>77</v>
      </c>
      <c r="C180" s="10">
        <v>46619</v>
      </c>
      <c r="D180" s="9" t="s">
        <v>94</v>
      </c>
      <c r="E180" s="11" t="str">
        <f>IF(tb_investimentos[[#This Row],[TIPO MOVIMENTAÇÃO]]="Aporte",_xlfn.XLOOKUP(tb_investimentos[[#This Row],[DESCRIÇÃO]],'INFO AÇÕES'!E:E,'INFO AÇÕES'!I:I),"BRL")</f>
        <v>BRL</v>
      </c>
      <c r="F180" s="75" t="s">
        <v>95</v>
      </c>
      <c r="G180" s="11">
        <v>1</v>
      </c>
      <c r="H180" s="12">
        <v>95</v>
      </c>
      <c r="I180" s="13" t="s">
        <v>107</v>
      </c>
      <c r="J180" s="51">
        <f t="shared" si="4"/>
        <v>95</v>
      </c>
      <c r="K180" s="13" t="s">
        <v>105</v>
      </c>
      <c r="L180">
        <f>MONTH(tb_investimentos[[#This Row],[DATA]])</f>
        <v>8</v>
      </c>
      <c r="M180">
        <f>YEAR(tb_investimentos[[#This Row],[DATA]])</f>
        <v>2027</v>
      </c>
      <c r="N180">
        <f>DAY(tb_investimentos[[#This Row],[DATA]])</f>
        <v>20</v>
      </c>
      <c r="O180">
        <f t="shared" si="5"/>
        <v>93.857142857142861</v>
      </c>
      <c r="P180">
        <f>tb_investimentos[[#This Row],[PREÇO MÉDIO PONDERADO]]*tb_investimentos[[#This Row],[QUANTIDADE]]</f>
        <v>93.857142857142861</v>
      </c>
      <c r="Q180" s="58" t="str">
        <f ca="1">IFERROR(_xlfn.XLOOKUP(tb_investimentos[[#This Row],[DESCRIÇÃO]],tb_acoes[Símbolo do ticker],tb_acoes[Preço]),"")</f>
        <v/>
      </c>
      <c r="R180" s="58" t="str">
        <f ca="1">IFERROR(tb_investimentos[[#This Row],[QUANTIDADE]]*tb_investimentos[[#This Row],[PREÇO MERCADO]],"")</f>
        <v/>
      </c>
      <c r="S180" s="58" t="str">
        <f ca="1">IFERROR(tb_investimentos[[#This Row],[VALOR TOTAL MERCADO]]-tb_investimentos[[#This Row],[VALOR TOTAL PONDERADO]],"")</f>
        <v/>
      </c>
      <c r="T180" s="58" t="str">
        <f ca="1">IFERROR(_xlfn.XLOOKUP(tb_investimentos[[#This Row],[DESCRIÇÃO]],'INFO AÇÕES'!E:E,'INFO AÇÕES'!H:H),"")</f>
        <v/>
      </c>
      <c r="U180" s="59" t="str">
        <f ca="1">IFERROR((tb_investimentos[[#This Row],[VALOR TOTAL MERCADO]]-tb_investimentos[[#This Row],[VALOR TOTAL PONDERADO]])/tb_investimentos[[#This Row],[VALOR TOTAL PONDERADO]],"")</f>
        <v/>
      </c>
    </row>
    <row r="181" spans="2:21" hidden="1" x14ac:dyDescent="0.2">
      <c r="B181" s="13" t="s">
        <v>77</v>
      </c>
      <c r="C181" s="10">
        <v>46623</v>
      </c>
      <c r="D181" s="9" t="s">
        <v>84</v>
      </c>
      <c r="E181" s="11" t="str">
        <f>IF(tb_investimentos[[#This Row],[TIPO MOVIMENTAÇÃO]]="Aporte",_xlfn.XLOOKUP(tb_investimentos[[#This Row],[DESCRIÇÃO]],'INFO AÇÕES'!E:E,'INFO AÇÕES'!I:I),"BRL")</f>
        <v>BRL</v>
      </c>
      <c r="F181" s="75" t="s">
        <v>83</v>
      </c>
      <c r="G181" s="11">
        <v>1</v>
      </c>
      <c r="H181" s="12">
        <v>650</v>
      </c>
      <c r="I181" s="13" t="s">
        <v>107</v>
      </c>
      <c r="J181" s="51">
        <f t="shared" si="4"/>
        <v>650</v>
      </c>
      <c r="K181" s="13" t="s">
        <v>105</v>
      </c>
      <c r="L181">
        <f>MONTH(tb_investimentos[[#This Row],[DATA]])</f>
        <v>8</v>
      </c>
      <c r="M181">
        <f>YEAR(tb_investimentos[[#This Row],[DATA]])</f>
        <v>2027</v>
      </c>
      <c r="N181">
        <f>DAY(tb_investimentos[[#This Row],[DATA]])</f>
        <v>24</v>
      </c>
      <c r="O181">
        <f t="shared" si="5"/>
        <v>650</v>
      </c>
      <c r="P181">
        <f>tb_investimentos[[#This Row],[PREÇO MÉDIO PONDERADO]]*tb_investimentos[[#This Row],[QUANTIDADE]]</f>
        <v>650</v>
      </c>
      <c r="Q181" s="58" t="str">
        <f ca="1">IFERROR(_xlfn.XLOOKUP(tb_investimentos[[#This Row],[DESCRIÇÃO]],tb_acoes[Símbolo do ticker],tb_acoes[Preço]),"")</f>
        <v/>
      </c>
      <c r="R181" s="58" t="str">
        <f ca="1">IFERROR(tb_investimentos[[#This Row],[QUANTIDADE]]*tb_investimentos[[#This Row],[PREÇO MERCADO]],"")</f>
        <v/>
      </c>
      <c r="S181" s="58" t="str">
        <f ca="1">IFERROR(tb_investimentos[[#This Row],[VALOR TOTAL MERCADO]]-tb_investimentos[[#This Row],[VALOR TOTAL PONDERADO]],"")</f>
        <v/>
      </c>
      <c r="T181" s="58" t="str">
        <f ca="1">IFERROR(_xlfn.XLOOKUP(tb_investimentos[[#This Row],[DESCRIÇÃO]],'INFO AÇÕES'!E:E,'INFO AÇÕES'!H:H),"")</f>
        <v/>
      </c>
      <c r="U181" s="59" t="str">
        <f ca="1">IFERROR((tb_investimentos[[#This Row],[VALOR TOTAL MERCADO]]-tb_investimentos[[#This Row],[VALOR TOTAL PONDERADO]])/tb_investimentos[[#This Row],[VALOR TOTAL PONDERADO]],"")</f>
        <v/>
      </c>
    </row>
    <row r="182" spans="2:21" hidden="1" x14ac:dyDescent="0.2">
      <c r="B182" s="13" t="s">
        <v>77</v>
      </c>
      <c r="C182" s="10">
        <v>46627</v>
      </c>
      <c r="D182" s="9" t="s">
        <v>82</v>
      </c>
      <c r="E182" s="11" t="str">
        <f>IF(tb_investimentos[[#This Row],[TIPO MOVIMENTAÇÃO]]="Aporte",_xlfn.XLOOKUP(tb_investimentos[[#This Row],[DESCRIÇÃO]],'INFO AÇÕES'!E:E,'INFO AÇÕES'!I:I),"BRL")</f>
        <v>BRL</v>
      </c>
      <c r="F182" s="75" t="s">
        <v>81</v>
      </c>
      <c r="G182" s="11">
        <v>1</v>
      </c>
      <c r="H182" s="12">
        <v>650</v>
      </c>
      <c r="I182" s="13" t="s">
        <v>107</v>
      </c>
      <c r="J182" s="51">
        <f t="shared" si="4"/>
        <v>650</v>
      </c>
      <c r="K182" s="13" t="s">
        <v>105</v>
      </c>
      <c r="L182">
        <f>MONTH(tb_investimentos[[#This Row],[DATA]])</f>
        <v>8</v>
      </c>
      <c r="M182">
        <f>YEAR(tb_investimentos[[#This Row],[DATA]])</f>
        <v>2027</v>
      </c>
      <c r="N182">
        <f>DAY(tb_investimentos[[#This Row],[DATA]])</f>
        <v>28</v>
      </c>
      <c r="O182">
        <f t="shared" si="5"/>
        <v>650</v>
      </c>
      <c r="P182">
        <f>tb_investimentos[[#This Row],[PREÇO MÉDIO PONDERADO]]*tb_investimentos[[#This Row],[QUANTIDADE]]</f>
        <v>650</v>
      </c>
      <c r="Q182" s="58" t="str">
        <f ca="1">IFERROR(_xlfn.XLOOKUP(tb_investimentos[[#This Row],[DESCRIÇÃO]],tb_acoes[Símbolo do ticker],tb_acoes[Preço]),"")</f>
        <v/>
      </c>
      <c r="R182" s="58" t="str">
        <f ca="1">IFERROR(tb_investimentos[[#This Row],[QUANTIDADE]]*tb_investimentos[[#This Row],[PREÇO MERCADO]],"")</f>
        <v/>
      </c>
      <c r="S182" s="58" t="str">
        <f ca="1">IFERROR(tb_investimentos[[#This Row],[VALOR TOTAL MERCADO]]-tb_investimentos[[#This Row],[VALOR TOTAL PONDERADO]],"")</f>
        <v/>
      </c>
      <c r="T182" s="58" t="str">
        <f ca="1">IFERROR(_xlfn.XLOOKUP(tb_investimentos[[#This Row],[DESCRIÇÃO]],'INFO AÇÕES'!E:E,'INFO AÇÕES'!H:H),"")</f>
        <v/>
      </c>
      <c r="U182" s="59" t="str">
        <f ca="1">IFERROR((tb_investimentos[[#This Row],[VALOR TOTAL MERCADO]]-tb_investimentos[[#This Row],[VALOR TOTAL PONDERADO]])/tb_investimentos[[#This Row],[VALOR TOTAL PONDERADO]],"")</f>
        <v/>
      </c>
    </row>
    <row r="183" spans="2:21" hidden="1" x14ac:dyDescent="0.2">
      <c r="B183" s="13" t="s">
        <v>72</v>
      </c>
      <c r="C183" s="72">
        <v>46635</v>
      </c>
      <c r="D183" s="9" t="s">
        <v>76</v>
      </c>
      <c r="E183" s="11" t="str">
        <f>IF(tb_investimentos[[#This Row],[TIPO MOVIMENTAÇÃO]]="Aporte",_xlfn.XLOOKUP(tb_investimentos[[#This Row],[DESCRIÇÃO]],'INFO AÇÕES'!E:E,'INFO AÇÕES'!I:I),"BRL")</f>
        <v>BRL</v>
      </c>
      <c r="F183" s="75" t="s">
        <v>73</v>
      </c>
      <c r="G183" s="11">
        <v>1</v>
      </c>
      <c r="H183" s="12">
        <v>8000</v>
      </c>
      <c r="I183" s="13" t="s">
        <v>107</v>
      </c>
      <c r="J183" s="51">
        <f t="shared" si="4"/>
        <v>8000</v>
      </c>
      <c r="K183" s="13" t="s">
        <v>105</v>
      </c>
      <c r="L183">
        <f>MONTH(tb_investimentos[[#This Row],[DATA]])</f>
        <v>9</v>
      </c>
      <c r="M183">
        <f>YEAR(tb_investimentos[[#This Row],[DATA]])</f>
        <v>2027</v>
      </c>
      <c r="N183">
        <f>DAY(tb_investimentos[[#This Row],[DATA]])</f>
        <v>5</v>
      </c>
      <c r="O183">
        <f t="shared" si="5"/>
        <v>7801.7948717948721</v>
      </c>
      <c r="P183">
        <f>tb_investimentos[[#This Row],[PREÇO MÉDIO PONDERADO]]*tb_investimentos[[#This Row],[QUANTIDADE]]</f>
        <v>7801.7948717948721</v>
      </c>
      <c r="Q183" s="58" t="str">
        <f ca="1">IFERROR(_xlfn.XLOOKUP(tb_investimentos[[#This Row],[DESCRIÇÃO]],tb_acoes[Símbolo do ticker],tb_acoes[Preço]),"")</f>
        <v/>
      </c>
      <c r="R183" s="58" t="str">
        <f ca="1">IFERROR(tb_investimentos[[#This Row],[QUANTIDADE]]*tb_investimentos[[#This Row],[PREÇO MERCADO]],"")</f>
        <v/>
      </c>
      <c r="S183" s="58" t="str">
        <f ca="1">IFERROR(tb_investimentos[[#This Row],[VALOR TOTAL MERCADO]]-tb_investimentos[[#This Row],[VALOR TOTAL PONDERADO]],"")</f>
        <v/>
      </c>
      <c r="T183" s="58" t="str">
        <f ca="1">IFERROR(_xlfn.XLOOKUP(tb_investimentos[[#This Row],[DESCRIÇÃO]],'INFO AÇÕES'!E:E,'INFO AÇÕES'!H:H),"")</f>
        <v/>
      </c>
      <c r="U183" s="59" t="str">
        <f ca="1">IFERROR((tb_investimentos[[#This Row],[VALOR TOTAL MERCADO]]-tb_investimentos[[#This Row],[VALOR TOTAL PONDERADO]])/tb_investimentos[[#This Row],[VALOR TOTAL PONDERADO]],"")</f>
        <v/>
      </c>
    </row>
    <row r="184" spans="2:21" hidden="1" x14ac:dyDescent="0.2">
      <c r="B184" s="13" t="s">
        <v>39</v>
      </c>
      <c r="C184" s="10">
        <v>46635</v>
      </c>
      <c r="D184" s="9"/>
      <c r="E184" s="11">
        <f ca="1">IF(tb_investimentos[[#This Row],[TIPO MOVIMENTAÇÃO]]="Aporte",_xlfn.XLOOKUP(tb_investimentos[[#This Row],[DESCRIÇÃO]],'INFO AÇÕES'!E:E,'INFO AÇÕES'!I:I),"BRL")</f>
        <v>0</v>
      </c>
      <c r="F184" s="73" t="s">
        <v>10</v>
      </c>
      <c r="G184" s="11">
        <v>1</v>
      </c>
      <c r="H184" s="12">
        <v>3500</v>
      </c>
      <c r="I184" s="13" t="s">
        <v>58</v>
      </c>
      <c r="J184" s="51">
        <f t="shared" si="4"/>
        <v>3500</v>
      </c>
      <c r="K184" s="11" t="s">
        <v>105</v>
      </c>
      <c r="L184">
        <f>MONTH(tb_investimentos[[#This Row],[DATA]])</f>
        <v>9</v>
      </c>
      <c r="M184">
        <f>YEAR(tb_investimentos[[#This Row],[DATA]])</f>
        <v>2027</v>
      </c>
      <c r="N184">
        <f>DAY(tb_investimentos[[#This Row],[DATA]])</f>
        <v>5</v>
      </c>
      <c r="O184" t="e">
        <f t="shared" si="5"/>
        <v>#DIV/0!</v>
      </c>
      <c r="P184" t="e">
        <f>tb_investimentos[[#This Row],[PREÇO MÉDIO PONDERADO]]*tb_investimentos[[#This Row],[QUANTIDADE]]</f>
        <v>#DIV/0!</v>
      </c>
      <c r="Q184" s="58" t="str">
        <f ca="1">IFERROR(_xlfn.XLOOKUP(tb_investimentos[[#This Row],[DESCRIÇÃO]],tb_acoes[Símbolo do ticker],tb_acoes[Preço]),"")</f>
        <v/>
      </c>
      <c r="R184" s="58" t="str">
        <f ca="1">IFERROR(tb_investimentos[[#This Row],[QUANTIDADE]]*tb_investimentos[[#This Row],[PREÇO MERCADO]],"")</f>
        <v/>
      </c>
      <c r="S184" s="58" t="str">
        <f ca="1">IFERROR(tb_investimentos[[#This Row],[VALOR TOTAL MERCADO]]-tb_investimentos[[#This Row],[VALOR TOTAL PONDERADO]],"")</f>
        <v/>
      </c>
      <c r="T184" s="58" t="str">
        <f ca="1">IFERROR(_xlfn.XLOOKUP(tb_investimentos[[#This Row],[DESCRIÇÃO]],'INFO AÇÕES'!E:E,'INFO AÇÕES'!H:H),"")</f>
        <v/>
      </c>
      <c r="U184" s="59" t="str">
        <f ca="1">IFERROR((tb_investimentos[[#This Row],[VALOR TOTAL MERCADO]]-tb_investimentos[[#This Row],[VALOR TOTAL PONDERADO]])/tb_investimentos[[#This Row],[VALOR TOTAL PONDERADO]],"")</f>
        <v/>
      </c>
    </row>
    <row r="185" spans="2:21" hidden="1" x14ac:dyDescent="0.2">
      <c r="B185" s="13" t="s">
        <v>77</v>
      </c>
      <c r="C185" s="10">
        <v>46639</v>
      </c>
      <c r="D185" s="9" t="s">
        <v>107</v>
      </c>
      <c r="E185" s="11" t="str">
        <f>IF(tb_investimentos[[#This Row],[TIPO MOVIMENTAÇÃO]]="Aporte",_xlfn.XLOOKUP(tb_investimentos[[#This Row],[DESCRIÇÃO]],'INFO AÇÕES'!E:E,'INFO AÇÕES'!I:I),"BRL")</f>
        <v>BRL</v>
      </c>
      <c r="F185" s="75" t="s">
        <v>106</v>
      </c>
      <c r="G185" s="11">
        <v>1</v>
      </c>
      <c r="H185" s="12">
        <v>500</v>
      </c>
      <c r="I185" s="13" t="s">
        <v>107</v>
      </c>
      <c r="J185" s="51">
        <f t="shared" si="4"/>
        <v>500</v>
      </c>
      <c r="K185" s="13" t="s">
        <v>105</v>
      </c>
      <c r="L185">
        <f>MONTH(tb_investimentos[[#This Row],[DATA]])</f>
        <v>9</v>
      </c>
      <c r="M185">
        <f>YEAR(tb_investimentos[[#This Row],[DATA]])</f>
        <v>2027</v>
      </c>
      <c r="N185">
        <f>DAY(tb_investimentos[[#This Row],[DATA]])</f>
        <v>9</v>
      </c>
      <c r="O185">
        <f t="shared" si="5"/>
        <v>515.93333333333328</v>
      </c>
      <c r="P185">
        <f>tb_investimentos[[#This Row],[PREÇO MÉDIO PONDERADO]]*tb_investimentos[[#This Row],[QUANTIDADE]]</f>
        <v>515.93333333333328</v>
      </c>
      <c r="Q185" s="58" t="str">
        <f ca="1">IFERROR(_xlfn.XLOOKUP(tb_investimentos[[#This Row],[DESCRIÇÃO]],tb_acoes[Símbolo do ticker],tb_acoes[Preço]),"")</f>
        <v/>
      </c>
      <c r="R185" s="58" t="str">
        <f ca="1">IFERROR(tb_investimentos[[#This Row],[QUANTIDADE]]*tb_investimentos[[#This Row],[PREÇO MERCADO]],"")</f>
        <v/>
      </c>
      <c r="S185" s="58" t="str">
        <f ca="1">IFERROR(tb_investimentos[[#This Row],[VALOR TOTAL MERCADO]]-tb_investimentos[[#This Row],[VALOR TOTAL PONDERADO]],"")</f>
        <v/>
      </c>
      <c r="T185" s="58" t="str">
        <f ca="1">IFERROR(_xlfn.XLOOKUP(tb_investimentos[[#This Row],[DESCRIÇÃO]],'INFO AÇÕES'!E:E,'INFO AÇÕES'!H:H),"")</f>
        <v/>
      </c>
      <c r="U185" s="59" t="str">
        <f ca="1">IFERROR((tb_investimentos[[#This Row],[VALOR TOTAL MERCADO]]-tb_investimentos[[#This Row],[VALOR TOTAL PONDERADO]])/tb_investimentos[[#This Row],[VALOR TOTAL PONDERADO]],"")</f>
        <v/>
      </c>
    </row>
    <row r="186" spans="2:21" hidden="1" x14ac:dyDescent="0.2">
      <c r="B186" s="13" t="s">
        <v>77</v>
      </c>
      <c r="C186" s="10">
        <v>46639</v>
      </c>
      <c r="D186" s="9" t="s">
        <v>80</v>
      </c>
      <c r="E186" s="11" t="str">
        <f>IF(tb_investimentos[[#This Row],[TIPO MOVIMENTAÇÃO]]="Aporte",_xlfn.XLOOKUP(tb_investimentos[[#This Row],[DESCRIÇÃO]],'INFO AÇÕES'!E:E,'INFO AÇÕES'!I:I),"BRL")</f>
        <v>BRL</v>
      </c>
      <c r="F186" s="75" t="s">
        <v>99</v>
      </c>
      <c r="G186" s="11">
        <v>1</v>
      </c>
      <c r="H186" s="12">
        <v>25</v>
      </c>
      <c r="I186" s="13" t="s">
        <v>107</v>
      </c>
      <c r="J186" s="51">
        <f t="shared" si="4"/>
        <v>25</v>
      </c>
      <c r="K186" s="13" t="s">
        <v>105</v>
      </c>
      <c r="L186">
        <f>MONTH(tb_investimentos[[#This Row],[DATA]])</f>
        <v>9</v>
      </c>
      <c r="M186">
        <f>YEAR(tb_investimentos[[#This Row],[DATA]])</f>
        <v>2027</v>
      </c>
      <c r="N186">
        <f>DAY(tb_investimentos[[#This Row],[DATA]])</f>
        <v>9</v>
      </c>
      <c r="O186">
        <f t="shared" si="5"/>
        <v>25</v>
      </c>
      <c r="P186">
        <f>tb_investimentos[[#This Row],[PREÇO MÉDIO PONDERADO]]*tb_investimentos[[#This Row],[QUANTIDADE]]</f>
        <v>25</v>
      </c>
      <c r="Q186" s="58" t="str">
        <f ca="1">IFERROR(_xlfn.XLOOKUP(tb_investimentos[[#This Row],[DESCRIÇÃO]],tb_acoes[Símbolo do ticker],tb_acoes[Preço]),"")</f>
        <v/>
      </c>
      <c r="R186" s="58" t="str">
        <f ca="1">IFERROR(tb_investimentos[[#This Row],[QUANTIDADE]]*tb_investimentos[[#This Row],[PREÇO MERCADO]],"")</f>
        <v/>
      </c>
      <c r="S186" s="58" t="str">
        <f ca="1">IFERROR(tb_investimentos[[#This Row],[VALOR TOTAL MERCADO]]-tb_investimentos[[#This Row],[VALOR TOTAL PONDERADO]],"")</f>
        <v/>
      </c>
      <c r="T186" s="58" t="str">
        <f ca="1">IFERROR(_xlfn.XLOOKUP(tb_investimentos[[#This Row],[DESCRIÇÃO]],'INFO AÇÕES'!E:E,'INFO AÇÕES'!H:H),"")</f>
        <v/>
      </c>
      <c r="U186" s="59" t="str">
        <f ca="1">IFERROR((tb_investimentos[[#This Row],[VALOR TOTAL MERCADO]]-tb_investimentos[[#This Row],[VALOR TOTAL PONDERADO]])/tb_investimentos[[#This Row],[VALOR TOTAL PONDERADO]],"")</f>
        <v/>
      </c>
    </row>
    <row r="187" spans="2:21" hidden="1" x14ac:dyDescent="0.2">
      <c r="B187" s="13" t="s">
        <v>77</v>
      </c>
      <c r="C187" s="10">
        <v>46639</v>
      </c>
      <c r="D187" s="9" t="s">
        <v>92</v>
      </c>
      <c r="E187" s="11" t="str">
        <f>IF(tb_investimentos[[#This Row],[TIPO MOVIMENTAÇÃO]]="Aporte",_xlfn.XLOOKUP(tb_investimentos[[#This Row],[DESCRIÇÃO]],'INFO AÇÕES'!E:E,'INFO AÇÕES'!I:I),"BRL")</f>
        <v>BRL</v>
      </c>
      <c r="F187" s="75" t="s">
        <v>93</v>
      </c>
      <c r="G187" s="11">
        <v>1</v>
      </c>
      <c r="H187" s="12">
        <v>205</v>
      </c>
      <c r="I187" s="13" t="s">
        <v>107</v>
      </c>
      <c r="J187" s="51">
        <f t="shared" si="4"/>
        <v>205</v>
      </c>
      <c r="K187" s="13" t="s">
        <v>105</v>
      </c>
      <c r="L187">
        <f>MONTH(tb_investimentos[[#This Row],[DATA]])</f>
        <v>9</v>
      </c>
      <c r="M187">
        <f>YEAR(tb_investimentos[[#This Row],[DATA]])</f>
        <v>2027</v>
      </c>
      <c r="N187">
        <f>DAY(tb_investimentos[[#This Row],[DATA]])</f>
        <v>9</v>
      </c>
      <c r="O187">
        <f t="shared" si="5"/>
        <v>205</v>
      </c>
      <c r="P187">
        <f>tb_investimentos[[#This Row],[PREÇO MÉDIO PONDERADO]]*tb_investimentos[[#This Row],[QUANTIDADE]]</f>
        <v>205</v>
      </c>
      <c r="Q187" s="58" t="str">
        <f ca="1">IFERROR(_xlfn.XLOOKUP(tb_investimentos[[#This Row],[DESCRIÇÃO]],tb_acoes[Símbolo do ticker],tb_acoes[Preço]),"")</f>
        <v/>
      </c>
      <c r="R187" s="58" t="str">
        <f ca="1">IFERROR(tb_investimentos[[#This Row],[QUANTIDADE]]*tb_investimentos[[#This Row],[PREÇO MERCADO]],"")</f>
        <v/>
      </c>
      <c r="S187" s="58" t="str">
        <f ca="1">IFERROR(tb_investimentos[[#This Row],[VALOR TOTAL MERCADO]]-tb_investimentos[[#This Row],[VALOR TOTAL PONDERADO]],"")</f>
        <v/>
      </c>
      <c r="T187" s="58" t="str">
        <f ca="1">IFERROR(_xlfn.XLOOKUP(tb_investimentos[[#This Row],[DESCRIÇÃO]],'INFO AÇÕES'!E:E,'INFO AÇÕES'!H:H),"")</f>
        <v/>
      </c>
      <c r="U187" s="59" t="str">
        <f ca="1">IFERROR((tb_investimentos[[#This Row],[VALOR TOTAL MERCADO]]-tb_investimentos[[#This Row],[VALOR TOTAL PONDERADO]])/tb_investimentos[[#This Row],[VALOR TOTAL PONDERADO]],"")</f>
        <v/>
      </c>
    </row>
    <row r="188" spans="2:21" hidden="1" x14ac:dyDescent="0.2">
      <c r="B188" s="13" t="s">
        <v>77</v>
      </c>
      <c r="C188" s="10">
        <v>46639</v>
      </c>
      <c r="D188" s="9" t="s">
        <v>107</v>
      </c>
      <c r="E188" s="11" t="str">
        <f>IF(tb_investimentos[[#This Row],[TIPO MOVIMENTAÇÃO]]="Aporte",_xlfn.XLOOKUP(tb_investimentos[[#This Row],[DESCRIÇÃO]],'INFO AÇÕES'!E:E,'INFO AÇÕES'!I:I),"BRL")</f>
        <v>BRL</v>
      </c>
      <c r="F188" s="75" t="s">
        <v>106</v>
      </c>
      <c r="G188" s="11">
        <v>1</v>
      </c>
      <c r="H188" s="12">
        <v>500</v>
      </c>
      <c r="I188" s="13" t="s">
        <v>107</v>
      </c>
      <c r="J188" s="51">
        <f t="shared" si="4"/>
        <v>500</v>
      </c>
      <c r="K188" s="13" t="s">
        <v>105</v>
      </c>
      <c r="L188">
        <f>MONTH(tb_investimentos[[#This Row],[DATA]])</f>
        <v>9</v>
      </c>
      <c r="M188">
        <f>YEAR(tb_investimentos[[#This Row],[DATA]])</f>
        <v>2027</v>
      </c>
      <c r="N188">
        <f>DAY(tb_investimentos[[#This Row],[DATA]])</f>
        <v>9</v>
      </c>
      <c r="O188">
        <f t="shared" si="5"/>
        <v>515.93333333333328</v>
      </c>
      <c r="P188">
        <f>tb_investimentos[[#This Row],[PREÇO MÉDIO PONDERADO]]*tb_investimentos[[#This Row],[QUANTIDADE]]</f>
        <v>515.93333333333328</v>
      </c>
      <c r="Q188" s="58" t="str">
        <f ca="1">IFERROR(_xlfn.XLOOKUP(tb_investimentos[[#This Row],[DESCRIÇÃO]],tb_acoes[Símbolo do ticker],tb_acoes[Preço]),"")</f>
        <v/>
      </c>
      <c r="R188" s="58" t="str">
        <f ca="1">IFERROR(tb_investimentos[[#This Row],[QUANTIDADE]]*tb_investimentos[[#This Row],[PREÇO MERCADO]],"")</f>
        <v/>
      </c>
      <c r="S188" s="58" t="str">
        <f ca="1">IFERROR(tb_investimentos[[#This Row],[VALOR TOTAL MERCADO]]-tb_investimentos[[#This Row],[VALOR TOTAL PONDERADO]],"")</f>
        <v/>
      </c>
      <c r="T188" s="58" t="str">
        <f ca="1">IFERROR(_xlfn.XLOOKUP(tb_investimentos[[#This Row],[DESCRIÇÃO]],'INFO AÇÕES'!E:E,'INFO AÇÕES'!H:H),"")</f>
        <v/>
      </c>
      <c r="U188" s="59" t="str">
        <f ca="1">IFERROR((tb_investimentos[[#This Row],[VALOR TOTAL MERCADO]]-tb_investimentos[[#This Row],[VALOR TOTAL PONDERADO]])/tb_investimentos[[#This Row],[VALOR TOTAL PONDERADO]],"")</f>
        <v/>
      </c>
    </row>
    <row r="189" spans="2:21" hidden="1" x14ac:dyDescent="0.2">
      <c r="B189" s="13" t="s">
        <v>77</v>
      </c>
      <c r="C189" s="10">
        <v>46640</v>
      </c>
      <c r="D189" s="9" t="s">
        <v>85</v>
      </c>
      <c r="E189" s="11" t="str">
        <f>IF(tb_investimentos[[#This Row],[TIPO MOVIMENTAÇÃO]]="Aporte",_xlfn.XLOOKUP(tb_investimentos[[#This Row],[DESCRIÇÃO]],'INFO AÇÕES'!E:E,'INFO AÇÕES'!I:I),"BRL")</f>
        <v>BRL</v>
      </c>
      <c r="F189" s="75" t="s">
        <v>104</v>
      </c>
      <c r="G189" s="11">
        <v>1</v>
      </c>
      <c r="H189" s="12">
        <v>95</v>
      </c>
      <c r="I189" s="13" t="s">
        <v>107</v>
      </c>
      <c r="J189" s="51">
        <f t="shared" si="4"/>
        <v>95</v>
      </c>
      <c r="K189" s="13" t="s">
        <v>105</v>
      </c>
      <c r="L189">
        <f>MONTH(tb_investimentos[[#This Row],[DATA]])</f>
        <v>9</v>
      </c>
      <c r="M189">
        <f>YEAR(tb_investimentos[[#This Row],[DATA]])</f>
        <v>2027</v>
      </c>
      <c r="N189">
        <f>DAY(tb_investimentos[[#This Row],[DATA]])</f>
        <v>10</v>
      </c>
      <c r="O189">
        <f t="shared" si="5"/>
        <v>95</v>
      </c>
      <c r="P189">
        <f>tb_investimentos[[#This Row],[PREÇO MÉDIO PONDERADO]]*tb_investimentos[[#This Row],[QUANTIDADE]]</f>
        <v>95</v>
      </c>
      <c r="Q189" s="58" t="str">
        <f ca="1">IFERROR(_xlfn.XLOOKUP(tb_investimentos[[#This Row],[DESCRIÇÃO]],tb_acoes[Símbolo do ticker],tb_acoes[Preço]),"")</f>
        <v/>
      </c>
      <c r="R189" s="58" t="str">
        <f ca="1">IFERROR(tb_investimentos[[#This Row],[QUANTIDADE]]*tb_investimentos[[#This Row],[PREÇO MERCADO]],"")</f>
        <v/>
      </c>
      <c r="S189" s="58" t="str">
        <f ca="1">IFERROR(tb_investimentos[[#This Row],[VALOR TOTAL MERCADO]]-tb_investimentos[[#This Row],[VALOR TOTAL PONDERADO]],"")</f>
        <v/>
      </c>
      <c r="T189" s="58" t="str">
        <f ca="1">IFERROR(_xlfn.XLOOKUP(tb_investimentos[[#This Row],[DESCRIÇÃO]],'INFO AÇÕES'!E:E,'INFO AÇÕES'!H:H),"")</f>
        <v/>
      </c>
      <c r="U189" s="59" t="str">
        <f ca="1">IFERROR((tb_investimentos[[#This Row],[VALOR TOTAL MERCADO]]-tb_investimentos[[#This Row],[VALOR TOTAL PONDERADO]])/tb_investimentos[[#This Row],[VALOR TOTAL PONDERADO]],"")</f>
        <v/>
      </c>
    </row>
    <row r="190" spans="2:21" hidden="1" x14ac:dyDescent="0.2">
      <c r="B190" s="13" t="s">
        <v>77</v>
      </c>
      <c r="C190" s="10">
        <v>46642</v>
      </c>
      <c r="D190" s="9" t="s">
        <v>89</v>
      </c>
      <c r="E190" s="11" t="str">
        <f>IF(tb_investimentos[[#This Row],[TIPO MOVIMENTAÇÃO]]="Aporte",_xlfn.XLOOKUP(tb_investimentos[[#This Row],[DESCRIÇÃO]],'INFO AÇÕES'!E:E,'INFO AÇÕES'!I:I),"BRL")</f>
        <v>BRL</v>
      </c>
      <c r="F190" s="75" t="s">
        <v>90</v>
      </c>
      <c r="G190" s="11">
        <v>1</v>
      </c>
      <c r="H190" s="12">
        <v>16.899999999999999</v>
      </c>
      <c r="I190" s="13" t="s">
        <v>107</v>
      </c>
      <c r="J190" s="51">
        <f t="shared" si="4"/>
        <v>16.899999999999999</v>
      </c>
      <c r="K190" s="13" t="s">
        <v>105</v>
      </c>
      <c r="L190">
        <f>MONTH(tb_investimentos[[#This Row],[DATA]])</f>
        <v>9</v>
      </c>
      <c r="M190">
        <f>YEAR(tb_investimentos[[#This Row],[DATA]])</f>
        <v>2027</v>
      </c>
      <c r="N190">
        <f>DAY(tb_investimentos[[#This Row],[DATA]])</f>
        <v>12</v>
      </c>
      <c r="O190">
        <f t="shared" si="5"/>
        <v>137.33453714285722</v>
      </c>
      <c r="P190">
        <f>tb_investimentos[[#This Row],[PREÇO MÉDIO PONDERADO]]*tb_investimentos[[#This Row],[QUANTIDADE]]</f>
        <v>137.33453714285722</v>
      </c>
      <c r="Q190" s="58" t="str">
        <f ca="1">IFERROR(_xlfn.XLOOKUP(tb_investimentos[[#This Row],[DESCRIÇÃO]],tb_acoes[Símbolo do ticker],tb_acoes[Preço]),"")</f>
        <v/>
      </c>
      <c r="R190" s="58" t="str">
        <f ca="1">IFERROR(tb_investimentos[[#This Row],[QUANTIDADE]]*tb_investimentos[[#This Row],[PREÇO MERCADO]],"")</f>
        <v/>
      </c>
      <c r="S190" s="58" t="str">
        <f ca="1">IFERROR(tb_investimentos[[#This Row],[VALOR TOTAL MERCADO]]-tb_investimentos[[#This Row],[VALOR TOTAL PONDERADO]],"")</f>
        <v/>
      </c>
      <c r="T190" s="58" t="str">
        <f ca="1">IFERROR(_xlfn.XLOOKUP(tb_investimentos[[#This Row],[DESCRIÇÃO]],'INFO AÇÕES'!E:E,'INFO AÇÕES'!H:H),"")</f>
        <v/>
      </c>
      <c r="U190" s="59" t="str">
        <f ca="1">IFERROR((tb_investimentos[[#This Row],[VALOR TOTAL MERCADO]]-tb_investimentos[[#This Row],[VALOR TOTAL PONDERADO]])/tb_investimentos[[#This Row],[VALOR TOTAL PONDERADO]],"")</f>
        <v/>
      </c>
    </row>
    <row r="191" spans="2:21" hidden="1" x14ac:dyDescent="0.2">
      <c r="B191" s="13" t="s">
        <v>77</v>
      </c>
      <c r="C191" s="72">
        <v>46645</v>
      </c>
      <c r="D191" s="9" t="s">
        <v>78</v>
      </c>
      <c r="E191" s="11" t="str">
        <f>IF(tb_investimentos[[#This Row],[TIPO MOVIMENTAÇÃO]]="Aporte",_xlfn.XLOOKUP(tb_investimentos[[#This Row],[DESCRIÇÃO]],'INFO AÇÕES'!E:E,'INFO AÇÕES'!I:I),"BRL")</f>
        <v>BRL</v>
      </c>
      <c r="F191" s="75" t="s">
        <v>102</v>
      </c>
      <c r="G191" s="11">
        <v>1</v>
      </c>
      <c r="H191" s="12">
        <v>39.9</v>
      </c>
      <c r="I191" s="13" t="s">
        <v>107</v>
      </c>
      <c r="J191" s="51">
        <f t="shared" si="4"/>
        <v>39.9</v>
      </c>
      <c r="K191" s="13" t="s">
        <v>105</v>
      </c>
      <c r="L191">
        <f>MONTH(tb_investimentos[[#This Row],[DATA]])</f>
        <v>9</v>
      </c>
      <c r="M191">
        <f>YEAR(tb_investimentos[[#This Row],[DATA]])</f>
        <v>2027</v>
      </c>
      <c r="N191">
        <f>DAY(tb_investimentos[[#This Row],[DATA]])</f>
        <v>15</v>
      </c>
      <c r="O191">
        <f t="shared" si="5"/>
        <v>59.90000000000002</v>
      </c>
      <c r="P191">
        <f>tb_investimentos[[#This Row],[PREÇO MÉDIO PONDERADO]]*tb_investimentos[[#This Row],[QUANTIDADE]]</f>
        <v>59.90000000000002</v>
      </c>
      <c r="Q191" s="58" t="str">
        <f ca="1">IFERROR(_xlfn.XLOOKUP(tb_investimentos[[#This Row],[DESCRIÇÃO]],tb_acoes[Símbolo do ticker],tb_acoes[Preço]),"")</f>
        <v/>
      </c>
      <c r="R191" s="58" t="str">
        <f ca="1">IFERROR(tb_investimentos[[#This Row],[QUANTIDADE]]*tb_investimentos[[#This Row],[PREÇO MERCADO]],"")</f>
        <v/>
      </c>
      <c r="S191" s="58" t="str">
        <f ca="1">IFERROR(tb_investimentos[[#This Row],[VALOR TOTAL MERCADO]]-tb_investimentos[[#This Row],[VALOR TOTAL PONDERADO]],"")</f>
        <v/>
      </c>
      <c r="T191" s="58" t="str">
        <f ca="1">IFERROR(_xlfn.XLOOKUP(tb_investimentos[[#This Row],[DESCRIÇÃO]],'INFO AÇÕES'!E:E,'INFO AÇÕES'!H:H),"")</f>
        <v/>
      </c>
      <c r="U191" s="59" t="str">
        <f ca="1">IFERROR((tb_investimentos[[#This Row],[VALOR TOTAL MERCADO]]-tb_investimentos[[#This Row],[VALOR TOTAL PONDERADO]])/tb_investimentos[[#This Row],[VALOR TOTAL PONDERADO]],"")</f>
        <v/>
      </c>
    </row>
    <row r="192" spans="2:21" hidden="1" x14ac:dyDescent="0.2">
      <c r="B192" s="13" t="s">
        <v>77</v>
      </c>
      <c r="C192" s="72">
        <v>46645</v>
      </c>
      <c r="D192" s="9" t="s">
        <v>78</v>
      </c>
      <c r="E192" s="11" t="str">
        <f>IF(tb_investimentos[[#This Row],[TIPO MOVIMENTAÇÃO]]="Aporte",_xlfn.XLOOKUP(tb_investimentos[[#This Row],[DESCRIÇÃO]],'INFO AÇÕES'!E:E,'INFO AÇÕES'!I:I),"BRL")</f>
        <v>BRL</v>
      </c>
      <c r="F192" s="75" t="s">
        <v>101</v>
      </c>
      <c r="G192" s="11">
        <v>1</v>
      </c>
      <c r="H192" s="12">
        <v>79.900000000000006</v>
      </c>
      <c r="I192" s="13" t="s">
        <v>107</v>
      </c>
      <c r="J192" s="51">
        <f t="shared" si="4"/>
        <v>79.900000000000006</v>
      </c>
      <c r="K192" s="13" t="s">
        <v>105</v>
      </c>
      <c r="L192">
        <f>MONTH(tb_investimentos[[#This Row],[DATA]])</f>
        <v>9</v>
      </c>
      <c r="M192">
        <f>YEAR(tb_investimentos[[#This Row],[DATA]])</f>
        <v>2027</v>
      </c>
      <c r="N192">
        <f>DAY(tb_investimentos[[#This Row],[DATA]])</f>
        <v>15</v>
      </c>
      <c r="O192">
        <f t="shared" si="5"/>
        <v>59.90000000000002</v>
      </c>
      <c r="P192">
        <f>tb_investimentos[[#This Row],[PREÇO MÉDIO PONDERADO]]*tb_investimentos[[#This Row],[QUANTIDADE]]</f>
        <v>59.90000000000002</v>
      </c>
      <c r="Q192" s="58" t="str">
        <f ca="1">IFERROR(_xlfn.XLOOKUP(tb_investimentos[[#This Row],[DESCRIÇÃO]],tb_acoes[Símbolo do ticker],tb_acoes[Preço]),"")</f>
        <v/>
      </c>
      <c r="R192" s="58" t="str">
        <f ca="1">IFERROR(tb_investimentos[[#This Row],[QUANTIDADE]]*tb_investimentos[[#This Row],[PREÇO MERCADO]],"")</f>
        <v/>
      </c>
      <c r="S192" s="58" t="str">
        <f ca="1">IFERROR(tb_investimentos[[#This Row],[VALOR TOTAL MERCADO]]-tb_investimentos[[#This Row],[VALOR TOTAL PONDERADO]],"")</f>
        <v/>
      </c>
      <c r="T192" s="58" t="str">
        <f ca="1">IFERROR(_xlfn.XLOOKUP(tb_investimentos[[#This Row],[DESCRIÇÃO]],'INFO AÇÕES'!E:E,'INFO AÇÕES'!H:H),"")</f>
        <v/>
      </c>
      <c r="U192" s="59" t="str">
        <f ca="1">IFERROR((tb_investimentos[[#This Row],[VALOR TOTAL MERCADO]]-tb_investimentos[[#This Row],[VALOR TOTAL PONDERADO]])/tb_investimentos[[#This Row],[VALOR TOTAL PONDERADO]],"")</f>
        <v/>
      </c>
    </row>
    <row r="193" spans="2:21" hidden="1" x14ac:dyDescent="0.2">
      <c r="B193" s="13" t="s">
        <v>77</v>
      </c>
      <c r="C193" s="72">
        <v>46645</v>
      </c>
      <c r="D193" s="9" t="s">
        <v>79</v>
      </c>
      <c r="E193" s="11" t="str">
        <f>IF(tb_investimentos[[#This Row],[TIPO MOVIMENTAÇÃO]]="Aporte",_xlfn.XLOOKUP(tb_investimentos[[#This Row],[DESCRIÇÃO]],'INFO AÇÕES'!E:E,'INFO AÇÕES'!I:I),"BRL")</f>
        <v>BRL</v>
      </c>
      <c r="F193" s="75" t="s">
        <v>100</v>
      </c>
      <c r="G193" s="11">
        <v>1</v>
      </c>
      <c r="H193" s="12">
        <v>110</v>
      </c>
      <c r="I193" s="13" t="s">
        <v>107</v>
      </c>
      <c r="J193" s="51">
        <f t="shared" si="4"/>
        <v>110</v>
      </c>
      <c r="K193" s="13" t="s">
        <v>105</v>
      </c>
      <c r="L193">
        <f>MONTH(tb_investimentos[[#This Row],[DATA]])</f>
        <v>9</v>
      </c>
      <c r="M193">
        <f>YEAR(tb_investimentos[[#This Row],[DATA]])</f>
        <v>2027</v>
      </c>
      <c r="N193">
        <f>DAY(tb_investimentos[[#This Row],[DATA]])</f>
        <v>15</v>
      </c>
      <c r="O193">
        <f t="shared" si="5"/>
        <v>110</v>
      </c>
      <c r="P193">
        <f>tb_investimentos[[#This Row],[PREÇO MÉDIO PONDERADO]]*tb_investimentos[[#This Row],[QUANTIDADE]]</f>
        <v>110</v>
      </c>
      <c r="Q193" s="58" t="str">
        <f ca="1">IFERROR(_xlfn.XLOOKUP(tb_investimentos[[#This Row],[DESCRIÇÃO]],tb_acoes[Símbolo do ticker],tb_acoes[Preço]),"")</f>
        <v/>
      </c>
      <c r="R193" s="58" t="str">
        <f ca="1">IFERROR(tb_investimentos[[#This Row],[QUANTIDADE]]*tb_investimentos[[#This Row],[PREÇO MERCADO]],"")</f>
        <v/>
      </c>
      <c r="S193" s="58" t="str">
        <f ca="1">IFERROR(tb_investimentos[[#This Row],[VALOR TOTAL MERCADO]]-tb_investimentos[[#This Row],[VALOR TOTAL PONDERADO]],"")</f>
        <v/>
      </c>
      <c r="T193" s="58" t="str">
        <f ca="1">IFERROR(_xlfn.XLOOKUP(tb_investimentos[[#This Row],[DESCRIÇÃO]],'INFO AÇÕES'!E:E,'INFO AÇÕES'!H:H),"")</f>
        <v/>
      </c>
      <c r="U193" s="59" t="str">
        <f ca="1">IFERROR((tb_investimentos[[#This Row],[VALOR TOTAL MERCADO]]-tb_investimentos[[#This Row],[VALOR TOTAL PONDERADO]])/tb_investimentos[[#This Row],[VALOR TOTAL PONDERADO]],"")</f>
        <v/>
      </c>
    </row>
    <row r="194" spans="2:21" hidden="1" x14ac:dyDescent="0.2">
      <c r="B194" s="13" t="s">
        <v>77</v>
      </c>
      <c r="C194" s="10">
        <v>46645</v>
      </c>
      <c r="D194" s="9" t="s">
        <v>88</v>
      </c>
      <c r="E194" s="11" t="str">
        <f>IF(tb_investimentos[[#This Row],[TIPO MOVIMENTAÇÃO]]="Aporte",_xlfn.XLOOKUP(tb_investimentos[[#This Row],[DESCRIÇÃO]],'INFO AÇÕES'!E:E,'INFO AÇÕES'!I:I),"BRL")</f>
        <v>BRL</v>
      </c>
      <c r="F194" s="75" t="s">
        <v>91</v>
      </c>
      <c r="G194" s="11">
        <v>1</v>
      </c>
      <c r="H194" s="83">
        <v>1400.9377400000001</v>
      </c>
      <c r="I194" s="13" t="s">
        <v>107</v>
      </c>
      <c r="J194" s="51">
        <f t="shared" si="4"/>
        <v>1400.9377400000001</v>
      </c>
      <c r="K194" s="13" t="s">
        <v>105</v>
      </c>
      <c r="L194">
        <f>MONTH(tb_investimentos[[#This Row],[DATA]])</f>
        <v>9</v>
      </c>
      <c r="M194">
        <f>YEAR(tb_investimentos[[#This Row],[DATA]])</f>
        <v>2027</v>
      </c>
      <c r="N194">
        <f>DAY(tb_investimentos[[#This Row],[DATA]])</f>
        <v>15</v>
      </c>
      <c r="O194">
        <f t="shared" si="5"/>
        <v>1629.9930261538464</v>
      </c>
      <c r="P194">
        <f>tb_investimentos[[#This Row],[PREÇO MÉDIO PONDERADO]]*tb_investimentos[[#This Row],[QUANTIDADE]]</f>
        <v>1629.9930261538464</v>
      </c>
      <c r="Q194" s="58" t="str">
        <f ca="1">IFERROR(_xlfn.XLOOKUP(tb_investimentos[[#This Row],[DESCRIÇÃO]],tb_acoes[Símbolo do ticker],tb_acoes[Preço]),"")</f>
        <v/>
      </c>
      <c r="R194" s="58" t="str">
        <f ca="1">IFERROR(tb_investimentos[[#This Row],[QUANTIDADE]]*tb_investimentos[[#This Row],[PREÇO MERCADO]],"")</f>
        <v/>
      </c>
      <c r="S194" s="58" t="str">
        <f ca="1">IFERROR(tb_investimentos[[#This Row],[VALOR TOTAL MERCADO]]-tb_investimentos[[#This Row],[VALOR TOTAL PONDERADO]],"")</f>
        <v/>
      </c>
      <c r="T194" s="58" t="str">
        <f ca="1">IFERROR(_xlfn.XLOOKUP(tb_investimentos[[#This Row],[DESCRIÇÃO]],'INFO AÇÕES'!E:E,'INFO AÇÕES'!H:H),"")</f>
        <v/>
      </c>
      <c r="U194" s="59" t="str">
        <f ca="1">IFERROR((tb_investimentos[[#This Row],[VALOR TOTAL MERCADO]]-tb_investimentos[[#This Row],[VALOR TOTAL PONDERADO]])/tb_investimentos[[#This Row],[VALOR TOTAL PONDERADO]],"")</f>
        <v/>
      </c>
    </row>
    <row r="195" spans="2:21" hidden="1" x14ac:dyDescent="0.2">
      <c r="B195" s="13" t="s">
        <v>77</v>
      </c>
      <c r="C195" s="10">
        <v>46650</v>
      </c>
      <c r="D195" s="9" t="s">
        <v>94</v>
      </c>
      <c r="E195" s="11" t="str">
        <f>IF(tb_investimentos[[#This Row],[TIPO MOVIMENTAÇÃO]]="Aporte",_xlfn.XLOOKUP(tb_investimentos[[#This Row],[DESCRIÇÃO]],'INFO AÇÕES'!E:E,'INFO AÇÕES'!I:I),"BRL")</f>
        <v>BRL</v>
      </c>
      <c r="F195" s="75" t="s">
        <v>95</v>
      </c>
      <c r="G195" s="11">
        <v>1</v>
      </c>
      <c r="H195" s="12">
        <v>95</v>
      </c>
      <c r="I195" s="13" t="s">
        <v>107</v>
      </c>
      <c r="J195" s="51">
        <f t="shared" si="4"/>
        <v>95</v>
      </c>
      <c r="K195" s="13" t="s">
        <v>105</v>
      </c>
      <c r="L195">
        <f>MONTH(tb_investimentos[[#This Row],[DATA]])</f>
        <v>9</v>
      </c>
      <c r="M195">
        <f>YEAR(tb_investimentos[[#This Row],[DATA]])</f>
        <v>2027</v>
      </c>
      <c r="N195">
        <f>DAY(tb_investimentos[[#This Row],[DATA]])</f>
        <v>20</v>
      </c>
      <c r="O195">
        <f t="shared" si="5"/>
        <v>93.857142857142861</v>
      </c>
      <c r="P195">
        <f>tb_investimentos[[#This Row],[PREÇO MÉDIO PONDERADO]]*tb_investimentos[[#This Row],[QUANTIDADE]]</f>
        <v>93.857142857142861</v>
      </c>
      <c r="Q195" s="58" t="str">
        <f ca="1">IFERROR(_xlfn.XLOOKUP(tb_investimentos[[#This Row],[DESCRIÇÃO]],tb_acoes[Símbolo do ticker],tb_acoes[Preço]),"")</f>
        <v/>
      </c>
      <c r="R195" s="58" t="str">
        <f ca="1">IFERROR(tb_investimentos[[#This Row],[QUANTIDADE]]*tb_investimentos[[#This Row],[PREÇO MERCADO]],"")</f>
        <v/>
      </c>
      <c r="S195" s="58" t="str">
        <f ca="1">IFERROR(tb_investimentos[[#This Row],[VALOR TOTAL MERCADO]]-tb_investimentos[[#This Row],[VALOR TOTAL PONDERADO]],"")</f>
        <v/>
      </c>
      <c r="T195" s="58" t="str">
        <f ca="1">IFERROR(_xlfn.XLOOKUP(tb_investimentos[[#This Row],[DESCRIÇÃO]],'INFO AÇÕES'!E:E,'INFO AÇÕES'!H:H),"")</f>
        <v/>
      </c>
      <c r="U195" s="59" t="str">
        <f ca="1">IFERROR((tb_investimentos[[#This Row],[VALOR TOTAL MERCADO]]-tb_investimentos[[#This Row],[VALOR TOTAL PONDERADO]])/tb_investimentos[[#This Row],[VALOR TOTAL PONDERADO]],"")</f>
        <v/>
      </c>
    </row>
    <row r="196" spans="2:21" hidden="1" x14ac:dyDescent="0.2">
      <c r="B196" s="13" t="s">
        <v>77</v>
      </c>
      <c r="C196" s="10">
        <v>46654</v>
      </c>
      <c r="D196" s="9" t="s">
        <v>84</v>
      </c>
      <c r="E196" s="11" t="str">
        <f>IF(tb_investimentos[[#This Row],[TIPO MOVIMENTAÇÃO]]="Aporte",_xlfn.XLOOKUP(tb_investimentos[[#This Row],[DESCRIÇÃO]],'INFO AÇÕES'!E:E,'INFO AÇÕES'!I:I),"BRL")</f>
        <v>BRL</v>
      </c>
      <c r="F196" s="75" t="s">
        <v>83</v>
      </c>
      <c r="G196" s="11">
        <v>1</v>
      </c>
      <c r="H196" s="12">
        <v>650</v>
      </c>
      <c r="I196" s="13" t="s">
        <v>107</v>
      </c>
      <c r="J196" s="51">
        <f t="shared" si="4"/>
        <v>650</v>
      </c>
      <c r="K196" s="13" t="s">
        <v>105</v>
      </c>
      <c r="L196">
        <f>MONTH(tb_investimentos[[#This Row],[DATA]])</f>
        <v>9</v>
      </c>
      <c r="M196">
        <f>YEAR(tb_investimentos[[#This Row],[DATA]])</f>
        <v>2027</v>
      </c>
      <c r="N196">
        <f>DAY(tb_investimentos[[#This Row],[DATA]])</f>
        <v>24</v>
      </c>
      <c r="O196">
        <f t="shared" si="5"/>
        <v>650</v>
      </c>
      <c r="P196">
        <f>tb_investimentos[[#This Row],[PREÇO MÉDIO PONDERADO]]*tb_investimentos[[#This Row],[QUANTIDADE]]</f>
        <v>650</v>
      </c>
      <c r="Q196" s="58" t="str">
        <f ca="1">IFERROR(_xlfn.XLOOKUP(tb_investimentos[[#This Row],[DESCRIÇÃO]],tb_acoes[Símbolo do ticker],tb_acoes[Preço]),"")</f>
        <v/>
      </c>
      <c r="R196" s="58" t="str">
        <f ca="1">IFERROR(tb_investimentos[[#This Row],[QUANTIDADE]]*tb_investimentos[[#This Row],[PREÇO MERCADO]],"")</f>
        <v/>
      </c>
      <c r="S196" s="58" t="str">
        <f ca="1">IFERROR(tb_investimentos[[#This Row],[VALOR TOTAL MERCADO]]-tb_investimentos[[#This Row],[VALOR TOTAL PONDERADO]],"")</f>
        <v/>
      </c>
      <c r="T196" s="58" t="str">
        <f ca="1">IFERROR(_xlfn.XLOOKUP(tb_investimentos[[#This Row],[DESCRIÇÃO]],'INFO AÇÕES'!E:E,'INFO AÇÕES'!H:H),"")</f>
        <v/>
      </c>
      <c r="U196" s="59" t="str">
        <f ca="1">IFERROR((tb_investimentos[[#This Row],[VALOR TOTAL MERCADO]]-tb_investimentos[[#This Row],[VALOR TOTAL PONDERADO]])/tb_investimentos[[#This Row],[VALOR TOTAL PONDERADO]],"")</f>
        <v/>
      </c>
    </row>
    <row r="197" spans="2:21" hidden="1" x14ac:dyDescent="0.2">
      <c r="B197" s="13" t="s">
        <v>77</v>
      </c>
      <c r="C197" s="10">
        <v>46658</v>
      </c>
      <c r="D197" s="9" t="s">
        <v>82</v>
      </c>
      <c r="E197" s="11" t="str">
        <f>IF(tb_investimentos[[#This Row],[TIPO MOVIMENTAÇÃO]]="Aporte",_xlfn.XLOOKUP(tb_investimentos[[#This Row],[DESCRIÇÃO]],'INFO AÇÕES'!E:E,'INFO AÇÕES'!I:I),"BRL")</f>
        <v>BRL</v>
      </c>
      <c r="F197" s="75" t="s">
        <v>81</v>
      </c>
      <c r="G197" s="11">
        <v>1</v>
      </c>
      <c r="H197" s="12">
        <v>650</v>
      </c>
      <c r="I197" s="13" t="s">
        <v>107</v>
      </c>
      <c r="J197" s="51">
        <f t="shared" ref="J197:J260" si="6">H197*G197</f>
        <v>650</v>
      </c>
      <c r="K197" s="13" t="s">
        <v>105</v>
      </c>
      <c r="L197">
        <f>MONTH(tb_investimentos[[#This Row],[DATA]])</f>
        <v>9</v>
      </c>
      <c r="M197">
        <f>YEAR(tb_investimentos[[#This Row],[DATA]])</f>
        <v>2027</v>
      </c>
      <c r="N197">
        <f>DAY(tb_investimentos[[#This Row],[DATA]])</f>
        <v>28</v>
      </c>
      <c r="O197">
        <f t="shared" ref="O197:O260" si="7">SUMIF($D$5:$D$10000, D197, $J$5:$J$10000) / SUMIF($D$5:$D$10000, D197, $G$5:$G$10000)</f>
        <v>650</v>
      </c>
      <c r="P197">
        <f>tb_investimentos[[#This Row],[PREÇO MÉDIO PONDERADO]]*tb_investimentos[[#This Row],[QUANTIDADE]]</f>
        <v>650</v>
      </c>
      <c r="Q197" s="58" t="str">
        <f ca="1">IFERROR(_xlfn.XLOOKUP(tb_investimentos[[#This Row],[DESCRIÇÃO]],tb_acoes[Símbolo do ticker],tb_acoes[Preço]),"")</f>
        <v/>
      </c>
      <c r="R197" s="58" t="str">
        <f ca="1">IFERROR(tb_investimentos[[#This Row],[QUANTIDADE]]*tb_investimentos[[#This Row],[PREÇO MERCADO]],"")</f>
        <v/>
      </c>
      <c r="S197" s="58" t="str">
        <f ca="1">IFERROR(tb_investimentos[[#This Row],[VALOR TOTAL MERCADO]]-tb_investimentos[[#This Row],[VALOR TOTAL PONDERADO]],"")</f>
        <v/>
      </c>
      <c r="T197" s="58" t="str">
        <f ca="1">IFERROR(_xlfn.XLOOKUP(tb_investimentos[[#This Row],[DESCRIÇÃO]],'INFO AÇÕES'!E:E,'INFO AÇÕES'!H:H),"")</f>
        <v/>
      </c>
      <c r="U197" s="59" t="str">
        <f ca="1">IFERROR((tb_investimentos[[#This Row],[VALOR TOTAL MERCADO]]-tb_investimentos[[#This Row],[VALOR TOTAL PONDERADO]])/tb_investimentos[[#This Row],[VALOR TOTAL PONDERADO]],"")</f>
        <v/>
      </c>
    </row>
    <row r="198" spans="2:21" hidden="1" x14ac:dyDescent="0.2">
      <c r="B198" s="13" t="s">
        <v>72</v>
      </c>
      <c r="C198" s="72">
        <v>46665</v>
      </c>
      <c r="D198" s="9" t="s">
        <v>76</v>
      </c>
      <c r="E198" s="11" t="str">
        <f>IF(tb_investimentos[[#This Row],[TIPO MOVIMENTAÇÃO]]="Aporte",_xlfn.XLOOKUP(tb_investimentos[[#This Row],[DESCRIÇÃO]],'INFO AÇÕES'!E:E,'INFO AÇÕES'!I:I),"BRL")</f>
        <v>BRL</v>
      </c>
      <c r="F198" s="75" t="s">
        <v>73</v>
      </c>
      <c r="G198" s="11">
        <v>1</v>
      </c>
      <c r="H198" s="12">
        <v>8000</v>
      </c>
      <c r="I198" s="13" t="s">
        <v>107</v>
      </c>
      <c r="J198" s="51">
        <f t="shared" si="6"/>
        <v>8000</v>
      </c>
      <c r="K198" s="13" t="s">
        <v>105</v>
      </c>
      <c r="L198">
        <f>MONTH(tb_investimentos[[#This Row],[DATA]])</f>
        <v>10</v>
      </c>
      <c r="M198">
        <f>YEAR(tb_investimentos[[#This Row],[DATA]])</f>
        <v>2027</v>
      </c>
      <c r="N198">
        <f>DAY(tb_investimentos[[#This Row],[DATA]])</f>
        <v>5</v>
      </c>
      <c r="O198">
        <f t="shared" si="7"/>
        <v>7801.7948717948721</v>
      </c>
      <c r="P198">
        <f>tb_investimentos[[#This Row],[PREÇO MÉDIO PONDERADO]]*tb_investimentos[[#This Row],[QUANTIDADE]]</f>
        <v>7801.7948717948721</v>
      </c>
      <c r="Q198" s="58" t="str">
        <f ca="1">IFERROR(_xlfn.XLOOKUP(tb_investimentos[[#This Row],[DESCRIÇÃO]],tb_acoes[Símbolo do ticker],tb_acoes[Preço]),"")</f>
        <v/>
      </c>
      <c r="R198" s="58" t="str">
        <f ca="1">IFERROR(tb_investimentos[[#This Row],[QUANTIDADE]]*tb_investimentos[[#This Row],[PREÇO MERCADO]],"")</f>
        <v/>
      </c>
      <c r="S198" s="58" t="str">
        <f ca="1">IFERROR(tb_investimentos[[#This Row],[VALOR TOTAL MERCADO]]-tb_investimentos[[#This Row],[VALOR TOTAL PONDERADO]],"")</f>
        <v/>
      </c>
      <c r="T198" s="58" t="str">
        <f ca="1">IFERROR(_xlfn.XLOOKUP(tb_investimentos[[#This Row],[DESCRIÇÃO]],'INFO AÇÕES'!E:E,'INFO AÇÕES'!H:H),"")</f>
        <v/>
      </c>
      <c r="U198" s="59" t="str">
        <f ca="1">IFERROR((tb_investimentos[[#This Row],[VALOR TOTAL MERCADO]]-tb_investimentos[[#This Row],[VALOR TOTAL PONDERADO]])/tb_investimentos[[#This Row],[VALOR TOTAL PONDERADO]],"")</f>
        <v/>
      </c>
    </row>
    <row r="199" spans="2:21" hidden="1" x14ac:dyDescent="0.2">
      <c r="B199" s="13" t="s">
        <v>39</v>
      </c>
      <c r="C199" s="10">
        <v>46665</v>
      </c>
      <c r="D199" s="9"/>
      <c r="E199" s="11">
        <f ca="1">IF(tb_investimentos[[#This Row],[TIPO MOVIMENTAÇÃO]]="Aporte",_xlfn.XLOOKUP(tb_investimentos[[#This Row],[DESCRIÇÃO]],'INFO AÇÕES'!E:E,'INFO AÇÕES'!I:I),"BRL")</f>
        <v>0</v>
      </c>
      <c r="F199" s="73" t="s">
        <v>10</v>
      </c>
      <c r="G199" s="11">
        <v>1</v>
      </c>
      <c r="H199" s="12">
        <v>3500</v>
      </c>
      <c r="I199" s="13" t="s">
        <v>58</v>
      </c>
      <c r="J199" s="51">
        <f t="shared" si="6"/>
        <v>3500</v>
      </c>
      <c r="K199" s="11" t="s">
        <v>105</v>
      </c>
      <c r="L199">
        <f>MONTH(tb_investimentos[[#This Row],[DATA]])</f>
        <v>10</v>
      </c>
      <c r="M199">
        <f>YEAR(tb_investimentos[[#This Row],[DATA]])</f>
        <v>2027</v>
      </c>
      <c r="N199">
        <f>DAY(tb_investimentos[[#This Row],[DATA]])</f>
        <v>5</v>
      </c>
      <c r="O199" t="e">
        <f t="shared" si="7"/>
        <v>#DIV/0!</v>
      </c>
      <c r="P199" t="e">
        <f>tb_investimentos[[#This Row],[PREÇO MÉDIO PONDERADO]]*tb_investimentos[[#This Row],[QUANTIDADE]]</f>
        <v>#DIV/0!</v>
      </c>
      <c r="Q199" s="58" t="str">
        <f ca="1">IFERROR(_xlfn.XLOOKUP(tb_investimentos[[#This Row],[DESCRIÇÃO]],tb_acoes[Símbolo do ticker],tb_acoes[Preço]),"")</f>
        <v/>
      </c>
      <c r="R199" s="58" t="str">
        <f ca="1">IFERROR(tb_investimentos[[#This Row],[QUANTIDADE]]*tb_investimentos[[#This Row],[PREÇO MERCADO]],"")</f>
        <v/>
      </c>
      <c r="S199" s="58" t="str">
        <f ca="1">IFERROR(tb_investimentos[[#This Row],[VALOR TOTAL MERCADO]]-tb_investimentos[[#This Row],[VALOR TOTAL PONDERADO]],"")</f>
        <v/>
      </c>
      <c r="T199" s="58" t="str">
        <f ca="1">IFERROR(_xlfn.XLOOKUP(tb_investimentos[[#This Row],[DESCRIÇÃO]],'INFO AÇÕES'!E:E,'INFO AÇÕES'!H:H),"")</f>
        <v/>
      </c>
      <c r="U199" s="59" t="str">
        <f ca="1">IFERROR((tb_investimentos[[#This Row],[VALOR TOTAL MERCADO]]-tb_investimentos[[#This Row],[VALOR TOTAL PONDERADO]])/tb_investimentos[[#This Row],[VALOR TOTAL PONDERADO]],"")</f>
        <v/>
      </c>
    </row>
    <row r="200" spans="2:21" hidden="1" x14ac:dyDescent="0.2">
      <c r="B200" s="13" t="s">
        <v>77</v>
      </c>
      <c r="C200" s="10">
        <v>46670</v>
      </c>
      <c r="D200" s="9" t="s">
        <v>80</v>
      </c>
      <c r="E200" s="11" t="str">
        <f>IF(tb_investimentos[[#This Row],[TIPO MOVIMENTAÇÃO]]="Aporte",_xlfn.XLOOKUP(tb_investimentos[[#This Row],[DESCRIÇÃO]],'INFO AÇÕES'!E:E,'INFO AÇÕES'!I:I),"BRL")</f>
        <v>BRL</v>
      </c>
      <c r="F200" s="75" t="s">
        <v>99</v>
      </c>
      <c r="G200" s="11">
        <v>1</v>
      </c>
      <c r="H200" s="12">
        <v>25</v>
      </c>
      <c r="I200" s="13" t="s">
        <v>107</v>
      </c>
      <c r="J200" s="51">
        <f t="shared" si="6"/>
        <v>25</v>
      </c>
      <c r="K200" s="13" t="s">
        <v>105</v>
      </c>
      <c r="L200">
        <f>MONTH(tb_investimentos[[#This Row],[DATA]])</f>
        <v>10</v>
      </c>
      <c r="M200">
        <f>YEAR(tb_investimentos[[#This Row],[DATA]])</f>
        <v>2027</v>
      </c>
      <c r="N200">
        <f>DAY(tb_investimentos[[#This Row],[DATA]])</f>
        <v>10</v>
      </c>
      <c r="O200">
        <f t="shared" si="7"/>
        <v>25</v>
      </c>
      <c r="P200">
        <f>tb_investimentos[[#This Row],[PREÇO MÉDIO PONDERADO]]*tb_investimentos[[#This Row],[QUANTIDADE]]</f>
        <v>25</v>
      </c>
      <c r="Q200" s="58" t="str">
        <f ca="1">IFERROR(_xlfn.XLOOKUP(tb_investimentos[[#This Row],[DESCRIÇÃO]],tb_acoes[Símbolo do ticker],tb_acoes[Preço]),"")</f>
        <v/>
      </c>
      <c r="R200" s="58" t="str">
        <f ca="1">IFERROR(tb_investimentos[[#This Row],[QUANTIDADE]]*tb_investimentos[[#This Row],[PREÇO MERCADO]],"")</f>
        <v/>
      </c>
      <c r="S200" s="58" t="str">
        <f ca="1">IFERROR(tb_investimentos[[#This Row],[VALOR TOTAL MERCADO]]-tb_investimentos[[#This Row],[VALOR TOTAL PONDERADO]],"")</f>
        <v/>
      </c>
      <c r="T200" s="58" t="str">
        <f ca="1">IFERROR(_xlfn.XLOOKUP(tb_investimentos[[#This Row],[DESCRIÇÃO]],'INFO AÇÕES'!E:E,'INFO AÇÕES'!H:H),"")</f>
        <v/>
      </c>
      <c r="U200" s="59" t="str">
        <f ca="1">IFERROR((tb_investimentos[[#This Row],[VALOR TOTAL MERCADO]]-tb_investimentos[[#This Row],[VALOR TOTAL PONDERADO]])/tb_investimentos[[#This Row],[VALOR TOTAL PONDERADO]],"")</f>
        <v/>
      </c>
    </row>
    <row r="201" spans="2:21" hidden="1" x14ac:dyDescent="0.2">
      <c r="B201" s="13" t="s">
        <v>77</v>
      </c>
      <c r="C201" s="10">
        <v>46670</v>
      </c>
      <c r="D201" s="9" t="s">
        <v>85</v>
      </c>
      <c r="E201" s="11" t="str">
        <f>IF(tb_investimentos[[#This Row],[TIPO MOVIMENTAÇÃO]]="Aporte",_xlfn.XLOOKUP(tb_investimentos[[#This Row],[DESCRIÇÃO]],'INFO AÇÕES'!E:E,'INFO AÇÕES'!I:I),"BRL")</f>
        <v>BRL</v>
      </c>
      <c r="F201" s="75" t="s">
        <v>104</v>
      </c>
      <c r="G201" s="11">
        <v>1</v>
      </c>
      <c r="H201" s="12">
        <v>95</v>
      </c>
      <c r="I201" s="13" t="s">
        <v>107</v>
      </c>
      <c r="J201" s="51">
        <f t="shared" si="6"/>
        <v>95</v>
      </c>
      <c r="K201" s="13" t="s">
        <v>105</v>
      </c>
      <c r="L201">
        <f>MONTH(tb_investimentos[[#This Row],[DATA]])</f>
        <v>10</v>
      </c>
      <c r="M201">
        <f>YEAR(tb_investimentos[[#This Row],[DATA]])</f>
        <v>2027</v>
      </c>
      <c r="N201">
        <f>DAY(tb_investimentos[[#This Row],[DATA]])</f>
        <v>10</v>
      </c>
      <c r="O201">
        <f t="shared" si="7"/>
        <v>95</v>
      </c>
      <c r="P201">
        <f>tb_investimentos[[#This Row],[PREÇO MÉDIO PONDERADO]]*tb_investimentos[[#This Row],[QUANTIDADE]]</f>
        <v>95</v>
      </c>
      <c r="Q201" s="58" t="str">
        <f ca="1">IFERROR(_xlfn.XLOOKUP(tb_investimentos[[#This Row],[DESCRIÇÃO]],tb_acoes[Símbolo do ticker],tb_acoes[Preço]),"")</f>
        <v/>
      </c>
      <c r="R201" s="58" t="str">
        <f ca="1">IFERROR(tb_investimentos[[#This Row],[QUANTIDADE]]*tb_investimentos[[#This Row],[PREÇO MERCADO]],"")</f>
        <v/>
      </c>
      <c r="S201" s="58" t="str">
        <f ca="1">IFERROR(tb_investimentos[[#This Row],[VALOR TOTAL MERCADO]]-tb_investimentos[[#This Row],[VALOR TOTAL PONDERADO]],"")</f>
        <v/>
      </c>
      <c r="T201" s="58" t="str">
        <f ca="1">IFERROR(_xlfn.XLOOKUP(tb_investimentos[[#This Row],[DESCRIÇÃO]],'INFO AÇÕES'!E:E,'INFO AÇÕES'!H:H),"")</f>
        <v/>
      </c>
      <c r="U201" s="59" t="str">
        <f ca="1">IFERROR((tb_investimentos[[#This Row],[VALOR TOTAL MERCADO]]-tb_investimentos[[#This Row],[VALOR TOTAL PONDERADO]])/tb_investimentos[[#This Row],[VALOR TOTAL PONDERADO]],"")</f>
        <v/>
      </c>
    </row>
    <row r="202" spans="2:21" hidden="1" x14ac:dyDescent="0.2">
      <c r="B202" s="13" t="s">
        <v>77</v>
      </c>
      <c r="C202" s="10">
        <v>46670</v>
      </c>
      <c r="D202" s="9" t="s">
        <v>92</v>
      </c>
      <c r="E202" s="11" t="str">
        <f>IF(tb_investimentos[[#This Row],[TIPO MOVIMENTAÇÃO]]="Aporte",_xlfn.XLOOKUP(tb_investimentos[[#This Row],[DESCRIÇÃO]],'INFO AÇÕES'!E:E,'INFO AÇÕES'!I:I),"BRL")</f>
        <v>BRL</v>
      </c>
      <c r="F202" s="75" t="s">
        <v>93</v>
      </c>
      <c r="G202" s="11">
        <v>1</v>
      </c>
      <c r="H202" s="12">
        <v>205</v>
      </c>
      <c r="I202" s="13" t="s">
        <v>107</v>
      </c>
      <c r="J202" s="51">
        <f t="shared" si="6"/>
        <v>205</v>
      </c>
      <c r="K202" s="13" t="s">
        <v>105</v>
      </c>
      <c r="L202">
        <f>MONTH(tb_investimentos[[#This Row],[DATA]])</f>
        <v>10</v>
      </c>
      <c r="M202">
        <f>YEAR(tb_investimentos[[#This Row],[DATA]])</f>
        <v>2027</v>
      </c>
      <c r="N202">
        <f>DAY(tb_investimentos[[#This Row],[DATA]])</f>
        <v>10</v>
      </c>
      <c r="O202">
        <f t="shared" si="7"/>
        <v>205</v>
      </c>
      <c r="P202">
        <f>tb_investimentos[[#This Row],[PREÇO MÉDIO PONDERADO]]*tb_investimentos[[#This Row],[QUANTIDADE]]</f>
        <v>205</v>
      </c>
      <c r="Q202" s="58" t="str">
        <f ca="1">IFERROR(_xlfn.XLOOKUP(tb_investimentos[[#This Row],[DESCRIÇÃO]],tb_acoes[Símbolo do ticker],tb_acoes[Preço]),"")</f>
        <v/>
      </c>
      <c r="R202" s="58" t="str">
        <f ca="1">IFERROR(tb_investimentos[[#This Row],[QUANTIDADE]]*tb_investimentos[[#This Row],[PREÇO MERCADO]],"")</f>
        <v/>
      </c>
      <c r="S202" s="58" t="str">
        <f ca="1">IFERROR(tb_investimentos[[#This Row],[VALOR TOTAL MERCADO]]-tb_investimentos[[#This Row],[VALOR TOTAL PONDERADO]],"")</f>
        <v/>
      </c>
      <c r="T202" s="58" t="str">
        <f ca="1">IFERROR(_xlfn.XLOOKUP(tb_investimentos[[#This Row],[DESCRIÇÃO]],'INFO AÇÕES'!E:E,'INFO AÇÕES'!H:H),"")</f>
        <v/>
      </c>
      <c r="U202" s="59" t="str">
        <f ca="1">IFERROR((tb_investimentos[[#This Row],[VALOR TOTAL MERCADO]]-tb_investimentos[[#This Row],[VALOR TOTAL PONDERADO]])/tb_investimentos[[#This Row],[VALOR TOTAL PONDERADO]],"")</f>
        <v/>
      </c>
    </row>
    <row r="203" spans="2:21" hidden="1" x14ac:dyDescent="0.2">
      <c r="B203" s="13" t="s">
        <v>77</v>
      </c>
      <c r="C203" s="10">
        <v>46672</v>
      </c>
      <c r="D203" s="9" t="s">
        <v>89</v>
      </c>
      <c r="E203" s="11" t="str">
        <f>IF(tb_investimentos[[#This Row],[TIPO MOVIMENTAÇÃO]]="Aporte",_xlfn.XLOOKUP(tb_investimentos[[#This Row],[DESCRIÇÃO]],'INFO AÇÕES'!E:E,'INFO AÇÕES'!I:I),"BRL")</f>
        <v>BRL</v>
      </c>
      <c r="F203" s="75" t="s">
        <v>90</v>
      </c>
      <c r="G203" s="11">
        <v>1</v>
      </c>
      <c r="H203" s="12">
        <v>16.899999999999999</v>
      </c>
      <c r="I203" s="13" t="s">
        <v>107</v>
      </c>
      <c r="J203" s="51">
        <f t="shared" si="6"/>
        <v>16.899999999999999</v>
      </c>
      <c r="K203" s="13" t="s">
        <v>105</v>
      </c>
      <c r="L203">
        <f>MONTH(tb_investimentos[[#This Row],[DATA]])</f>
        <v>10</v>
      </c>
      <c r="M203">
        <f>YEAR(tb_investimentos[[#This Row],[DATA]])</f>
        <v>2027</v>
      </c>
      <c r="N203">
        <f>DAY(tb_investimentos[[#This Row],[DATA]])</f>
        <v>12</v>
      </c>
      <c r="O203">
        <f t="shared" si="7"/>
        <v>137.33453714285722</v>
      </c>
      <c r="P203">
        <f>tb_investimentos[[#This Row],[PREÇO MÉDIO PONDERADO]]*tb_investimentos[[#This Row],[QUANTIDADE]]</f>
        <v>137.33453714285722</v>
      </c>
      <c r="Q203" s="58" t="str">
        <f ca="1">IFERROR(_xlfn.XLOOKUP(tb_investimentos[[#This Row],[DESCRIÇÃO]],tb_acoes[Símbolo do ticker],tb_acoes[Preço]),"")</f>
        <v/>
      </c>
      <c r="R203" s="58" t="str">
        <f ca="1">IFERROR(tb_investimentos[[#This Row],[QUANTIDADE]]*tb_investimentos[[#This Row],[PREÇO MERCADO]],"")</f>
        <v/>
      </c>
      <c r="S203" s="58" t="str">
        <f ca="1">IFERROR(tb_investimentos[[#This Row],[VALOR TOTAL MERCADO]]-tb_investimentos[[#This Row],[VALOR TOTAL PONDERADO]],"")</f>
        <v/>
      </c>
      <c r="T203" s="58" t="str">
        <f ca="1">IFERROR(_xlfn.XLOOKUP(tb_investimentos[[#This Row],[DESCRIÇÃO]],'INFO AÇÕES'!E:E,'INFO AÇÕES'!H:H),"")</f>
        <v/>
      </c>
      <c r="U203" s="59" t="str">
        <f ca="1">IFERROR((tb_investimentos[[#This Row],[VALOR TOTAL MERCADO]]-tb_investimentos[[#This Row],[VALOR TOTAL PONDERADO]])/tb_investimentos[[#This Row],[VALOR TOTAL PONDERADO]],"")</f>
        <v/>
      </c>
    </row>
    <row r="204" spans="2:21" hidden="1" x14ac:dyDescent="0.2">
      <c r="B204" s="13" t="s">
        <v>77</v>
      </c>
      <c r="C204" s="72">
        <v>46675</v>
      </c>
      <c r="D204" s="9" t="s">
        <v>78</v>
      </c>
      <c r="E204" s="11" t="str">
        <f>IF(tb_investimentos[[#This Row],[TIPO MOVIMENTAÇÃO]]="Aporte",_xlfn.XLOOKUP(tb_investimentos[[#This Row],[DESCRIÇÃO]],'INFO AÇÕES'!E:E,'INFO AÇÕES'!I:I),"BRL")</f>
        <v>BRL</v>
      </c>
      <c r="F204" s="75" t="s">
        <v>102</v>
      </c>
      <c r="G204" s="11">
        <v>1</v>
      </c>
      <c r="H204" s="12">
        <v>39.9</v>
      </c>
      <c r="I204" s="13" t="s">
        <v>107</v>
      </c>
      <c r="J204" s="51">
        <f t="shared" si="6"/>
        <v>39.9</v>
      </c>
      <c r="K204" s="13" t="s">
        <v>105</v>
      </c>
      <c r="L204">
        <f>MONTH(tb_investimentos[[#This Row],[DATA]])</f>
        <v>10</v>
      </c>
      <c r="M204">
        <f>YEAR(tb_investimentos[[#This Row],[DATA]])</f>
        <v>2027</v>
      </c>
      <c r="N204">
        <f>DAY(tb_investimentos[[#This Row],[DATA]])</f>
        <v>15</v>
      </c>
      <c r="O204">
        <f t="shared" si="7"/>
        <v>59.90000000000002</v>
      </c>
      <c r="P204">
        <f>tb_investimentos[[#This Row],[PREÇO MÉDIO PONDERADO]]*tb_investimentos[[#This Row],[QUANTIDADE]]</f>
        <v>59.90000000000002</v>
      </c>
      <c r="Q204" s="58" t="str">
        <f ca="1">IFERROR(_xlfn.XLOOKUP(tb_investimentos[[#This Row],[DESCRIÇÃO]],tb_acoes[Símbolo do ticker],tb_acoes[Preço]),"")</f>
        <v/>
      </c>
      <c r="R204" s="58" t="str">
        <f ca="1">IFERROR(tb_investimentos[[#This Row],[QUANTIDADE]]*tb_investimentos[[#This Row],[PREÇO MERCADO]],"")</f>
        <v/>
      </c>
      <c r="S204" s="58" t="str">
        <f ca="1">IFERROR(tb_investimentos[[#This Row],[VALOR TOTAL MERCADO]]-tb_investimentos[[#This Row],[VALOR TOTAL PONDERADO]],"")</f>
        <v/>
      </c>
      <c r="T204" s="58" t="str">
        <f ca="1">IFERROR(_xlfn.XLOOKUP(tb_investimentos[[#This Row],[DESCRIÇÃO]],'INFO AÇÕES'!E:E,'INFO AÇÕES'!H:H),"")</f>
        <v/>
      </c>
      <c r="U204" s="59" t="str">
        <f ca="1">IFERROR((tb_investimentos[[#This Row],[VALOR TOTAL MERCADO]]-tb_investimentos[[#This Row],[VALOR TOTAL PONDERADO]])/tb_investimentos[[#This Row],[VALOR TOTAL PONDERADO]],"")</f>
        <v/>
      </c>
    </row>
    <row r="205" spans="2:21" hidden="1" x14ac:dyDescent="0.2">
      <c r="B205" s="13" t="s">
        <v>77</v>
      </c>
      <c r="C205" s="72">
        <v>46675</v>
      </c>
      <c r="D205" s="9" t="s">
        <v>78</v>
      </c>
      <c r="E205" s="11" t="str">
        <f>IF(tb_investimentos[[#This Row],[TIPO MOVIMENTAÇÃO]]="Aporte",_xlfn.XLOOKUP(tb_investimentos[[#This Row],[DESCRIÇÃO]],'INFO AÇÕES'!E:E,'INFO AÇÕES'!I:I),"BRL")</f>
        <v>BRL</v>
      </c>
      <c r="F205" s="75" t="s">
        <v>101</v>
      </c>
      <c r="G205" s="11">
        <v>1</v>
      </c>
      <c r="H205" s="12">
        <v>79.900000000000006</v>
      </c>
      <c r="I205" s="13" t="s">
        <v>107</v>
      </c>
      <c r="J205" s="51">
        <f t="shared" si="6"/>
        <v>79.900000000000006</v>
      </c>
      <c r="K205" s="13" t="s">
        <v>105</v>
      </c>
      <c r="L205">
        <f>MONTH(tb_investimentos[[#This Row],[DATA]])</f>
        <v>10</v>
      </c>
      <c r="M205">
        <f>YEAR(tb_investimentos[[#This Row],[DATA]])</f>
        <v>2027</v>
      </c>
      <c r="N205">
        <f>DAY(tb_investimentos[[#This Row],[DATA]])</f>
        <v>15</v>
      </c>
      <c r="O205">
        <f t="shared" si="7"/>
        <v>59.90000000000002</v>
      </c>
      <c r="P205">
        <f>tb_investimentos[[#This Row],[PREÇO MÉDIO PONDERADO]]*tb_investimentos[[#This Row],[QUANTIDADE]]</f>
        <v>59.90000000000002</v>
      </c>
      <c r="Q205" s="58" t="str">
        <f ca="1">IFERROR(_xlfn.XLOOKUP(tb_investimentos[[#This Row],[DESCRIÇÃO]],tb_acoes[Símbolo do ticker],tb_acoes[Preço]),"")</f>
        <v/>
      </c>
      <c r="R205" s="58" t="str">
        <f ca="1">IFERROR(tb_investimentos[[#This Row],[QUANTIDADE]]*tb_investimentos[[#This Row],[PREÇO MERCADO]],"")</f>
        <v/>
      </c>
      <c r="S205" s="58" t="str">
        <f ca="1">IFERROR(tb_investimentos[[#This Row],[VALOR TOTAL MERCADO]]-tb_investimentos[[#This Row],[VALOR TOTAL PONDERADO]],"")</f>
        <v/>
      </c>
      <c r="T205" s="58" t="str">
        <f ca="1">IFERROR(_xlfn.XLOOKUP(tb_investimentos[[#This Row],[DESCRIÇÃO]],'INFO AÇÕES'!E:E,'INFO AÇÕES'!H:H),"")</f>
        <v/>
      </c>
      <c r="U205" s="59" t="str">
        <f ca="1">IFERROR((tb_investimentos[[#This Row],[VALOR TOTAL MERCADO]]-tb_investimentos[[#This Row],[VALOR TOTAL PONDERADO]])/tb_investimentos[[#This Row],[VALOR TOTAL PONDERADO]],"")</f>
        <v/>
      </c>
    </row>
    <row r="206" spans="2:21" hidden="1" x14ac:dyDescent="0.2">
      <c r="B206" s="13" t="s">
        <v>77</v>
      </c>
      <c r="C206" s="72">
        <v>46675</v>
      </c>
      <c r="D206" s="9" t="s">
        <v>79</v>
      </c>
      <c r="E206" s="11" t="str">
        <f>IF(tb_investimentos[[#This Row],[TIPO MOVIMENTAÇÃO]]="Aporte",_xlfn.XLOOKUP(tb_investimentos[[#This Row],[DESCRIÇÃO]],'INFO AÇÕES'!E:E,'INFO AÇÕES'!I:I),"BRL")</f>
        <v>BRL</v>
      </c>
      <c r="F206" s="75" t="s">
        <v>100</v>
      </c>
      <c r="G206" s="11">
        <v>1</v>
      </c>
      <c r="H206" s="12">
        <v>110</v>
      </c>
      <c r="I206" s="13" t="s">
        <v>107</v>
      </c>
      <c r="J206" s="51">
        <f t="shared" si="6"/>
        <v>110</v>
      </c>
      <c r="K206" s="13" t="s">
        <v>105</v>
      </c>
      <c r="L206">
        <f>MONTH(tb_investimentos[[#This Row],[DATA]])</f>
        <v>10</v>
      </c>
      <c r="M206">
        <f>YEAR(tb_investimentos[[#This Row],[DATA]])</f>
        <v>2027</v>
      </c>
      <c r="N206">
        <f>DAY(tb_investimentos[[#This Row],[DATA]])</f>
        <v>15</v>
      </c>
      <c r="O206">
        <f t="shared" si="7"/>
        <v>110</v>
      </c>
      <c r="P206">
        <f>tb_investimentos[[#This Row],[PREÇO MÉDIO PONDERADO]]*tb_investimentos[[#This Row],[QUANTIDADE]]</f>
        <v>110</v>
      </c>
      <c r="Q206" s="58" t="str">
        <f ca="1">IFERROR(_xlfn.XLOOKUP(tb_investimentos[[#This Row],[DESCRIÇÃO]],tb_acoes[Símbolo do ticker],tb_acoes[Preço]),"")</f>
        <v/>
      </c>
      <c r="R206" s="58" t="str">
        <f ca="1">IFERROR(tb_investimentos[[#This Row],[QUANTIDADE]]*tb_investimentos[[#This Row],[PREÇO MERCADO]],"")</f>
        <v/>
      </c>
      <c r="S206" s="58" t="str">
        <f ca="1">IFERROR(tb_investimentos[[#This Row],[VALOR TOTAL MERCADO]]-tb_investimentos[[#This Row],[VALOR TOTAL PONDERADO]],"")</f>
        <v/>
      </c>
      <c r="T206" s="58" t="str">
        <f ca="1">IFERROR(_xlfn.XLOOKUP(tb_investimentos[[#This Row],[DESCRIÇÃO]],'INFO AÇÕES'!E:E,'INFO AÇÕES'!H:H),"")</f>
        <v/>
      </c>
      <c r="U206" s="59" t="str">
        <f ca="1">IFERROR((tb_investimentos[[#This Row],[VALOR TOTAL MERCADO]]-tb_investimentos[[#This Row],[VALOR TOTAL PONDERADO]])/tb_investimentos[[#This Row],[VALOR TOTAL PONDERADO]],"")</f>
        <v/>
      </c>
    </row>
    <row r="207" spans="2:21" hidden="1" x14ac:dyDescent="0.2">
      <c r="B207" s="13" t="s">
        <v>77</v>
      </c>
      <c r="C207" s="10">
        <v>46675</v>
      </c>
      <c r="D207" s="9" t="s">
        <v>88</v>
      </c>
      <c r="E207" s="11" t="str">
        <f>IF(tb_investimentos[[#This Row],[TIPO MOVIMENTAÇÃO]]="Aporte",_xlfn.XLOOKUP(tb_investimentos[[#This Row],[DESCRIÇÃO]],'INFO AÇÕES'!E:E,'INFO AÇÕES'!I:I),"BRL")</f>
        <v>BRL</v>
      </c>
      <c r="F207" s="75" t="s">
        <v>91</v>
      </c>
      <c r="G207" s="11">
        <v>1</v>
      </c>
      <c r="H207" s="83">
        <v>1455.5385399999998</v>
      </c>
      <c r="I207" s="13" t="s">
        <v>107</v>
      </c>
      <c r="J207" s="51">
        <f t="shared" si="6"/>
        <v>1455.5385399999998</v>
      </c>
      <c r="K207" s="13" t="s">
        <v>105</v>
      </c>
      <c r="L207">
        <f>MONTH(tb_investimentos[[#This Row],[DATA]])</f>
        <v>10</v>
      </c>
      <c r="M207">
        <f>YEAR(tb_investimentos[[#This Row],[DATA]])</f>
        <v>2027</v>
      </c>
      <c r="N207">
        <f>DAY(tb_investimentos[[#This Row],[DATA]])</f>
        <v>15</v>
      </c>
      <c r="O207">
        <f t="shared" si="7"/>
        <v>1629.9930261538464</v>
      </c>
      <c r="P207">
        <f>tb_investimentos[[#This Row],[PREÇO MÉDIO PONDERADO]]*tb_investimentos[[#This Row],[QUANTIDADE]]</f>
        <v>1629.9930261538464</v>
      </c>
      <c r="Q207" s="58" t="str">
        <f ca="1">IFERROR(_xlfn.XLOOKUP(tb_investimentos[[#This Row],[DESCRIÇÃO]],tb_acoes[Símbolo do ticker],tb_acoes[Preço]),"")</f>
        <v/>
      </c>
      <c r="R207" s="58" t="str">
        <f ca="1">IFERROR(tb_investimentos[[#This Row],[QUANTIDADE]]*tb_investimentos[[#This Row],[PREÇO MERCADO]],"")</f>
        <v/>
      </c>
      <c r="S207" s="58" t="str">
        <f ca="1">IFERROR(tb_investimentos[[#This Row],[VALOR TOTAL MERCADO]]-tb_investimentos[[#This Row],[VALOR TOTAL PONDERADO]],"")</f>
        <v/>
      </c>
      <c r="T207" s="58" t="str">
        <f ca="1">IFERROR(_xlfn.XLOOKUP(tb_investimentos[[#This Row],[DESCRIÇÃO]],'INFO AÇÕES'!E:E,'INFO AÇÕES'!H:H),"")</f>
        <v/>
      </c>
      <c r="U207" s="59" t="str">
        <f ca="1">IFERROR((tb_investimentos[[#This Row],[VALOR TOTAL MERCADO]]-tb_investimentos[[#This Row],[VALOR TOTAL PONDERADO]])/tb_investimentos[[#This Row],[VALOR TOTAL PONDERADO]],"")</f>
        <v/>
      </c>
    </row>
    <row r="208" spans="2:21" hidden="1" x14ac:dyDescent="0.2">
      <c r="B208" s="13" t="s">
        <v>77</v>
      </c>
      <c r="C208" s="10">
        <v>46680</v>
      </c>
      <c r="D208" s="9" t="s">
        <v>94</v>
      </c>
      <c r="E208" s="11" t="str">
        <f>IF(tb_investimentos[[#This Row],[TIPO MOVIMENTAÇÃO]]="Aporte",_xlfn.XLOOKUP(tb_investimentos[[#This Row],[DESCRIÇÃO]],'INFO AÇÕES'!E:E,'INFO AÇÕES'!I:I),"BRL")</f>
        <v>BRL</v>
      </c>
      <c r="F208" s="75" t="s">
        <v>95</v>
      </c>
      <c r="G208" s="11">
        <v>1</v>
      </c>
      <c r="H208" s="12">
        <v>95</v>
      </c>
      <c r="I208" s="13" t="s">
        <v>107</v>
      </c>
      <c r="J208" s="51">
        <f t="shared" si="6"/>
        <v>95</v>
      </c>
      <c r="K208" s="13" t="s">
        <v>105</v>
      </c>
      <c r="L208">
        <f>MONTH(tb_investimentos[[#This Row],[DATA]])</f>
        <v>10</v>
      </c>
      <c r="M208">
        <f>YEAR(tb_investimentos[[#This Row],[DATA]])</f>
        <v>2027</v>
      </c>
      <c r="N208">
        <f>DAY(tb_investimentos[[#This Row],[DATA]])</f>
        <v>20</v>
      </c>
      <c r="O208">
        <f t="shared" si="7"/>
        <v>93.857142857142861</v>
      </c>
      <c r="P208">
        <f>tb_investimentos[[#This Row],[PREÇO MÉDIO PONDERADO]]*tb_investimentos[[#This Row],[QUANTIDADE]]</f>
        <v>93.857142857142861</v>
      </c>
      <c r="Q208" s="58" t="str">
        <f ca="1">IFERROR(_xlfn.XLOOKUP(tb_investimentos[[#This Row],[DESCRIÇÃO]],tb_acoes[Símbolo do ticker],tb_acoes[Preço]),"")</f>
        <v/>
      </c>
      <c r="R208" s="58" t="str">
        <f ca="1">IFERROR(tb_investimentos[[#This Row],[QUANTIDADE]]*tb_investimentos[[#This Row],[PREÇO MERCADO]],"")</f>
        <v/>
      </c>
      <c r="S208" s="58" t="str">
        <f ca="1">IFERROR(tb_investimentos[[#This Row],[VALOR TOTAL MERCADO]]-tb_investimentos[[#This Row],[VALOR TOTAL PONDERADO]],"")</f>
        <v/>
      </c>
      <c r="T208" s="58" t="str">
        <f ca="1">IFERROR(_xlfn.XLOOKUP(tb_investimentos[[#This Row],[DESCRIÇÃO]],'INFO AÇÕES'!E:E,'INFO AÇÕES'!H:H),"")</f>
        <v/>
      </c>
      <c r="U208" s="59" t="str">
        <f ca="1">IFERROR((tb_investimentos[[#This Row],[VALOR TOTAL MERCADO]]-tb_investimentos[[#This Row],[VALOR TOTAL PONDERADO]])/tb_investimentos[[#This Row],[VALOR TOTAL PONDERADO]],"")</f>
        <v/>
      </c>
    </row>
    <row r="209" spans="2:21" hidden="1" x14ac:dyDescent="0.2">
      <c r="B209" s="13" t="s">
        <v>77</v>
      </c>
      <c r="C209" s="10">
        <v>46684</v>
      </c>
      <c r="D209" s="9" t="s">
        <v>84</v>
      </c>
      <c r="E209" s="11" t="str">
        <f>IF(tb_investimentos[[#This Row],[TIPO MOVIMENTAÇÃO]]="Aporte",_xlfn.XLOOKUP(tb_investimentos[[#This Row],[DESCRIÇÃO]],'INFO AÇÕES'!E:E,'INFO AÇÕES'!I:I),"BRL")</f>
        <v>BRL</v>
      </c>
      <c r="F209" s="75" t="s">
        <v>83</v>
      </c>
      <c r="G209" s="11">
        <v>1</v>
      </c>
      <c r="H209" s="12">
        <v>650</v>
      </c>
      <c r="I209" s="13" t="s">
        <v>107</v>
      </c>
      <c r="J209" s="51">
        <f t="shared" si="6"/>
        <v>650</v>
      </c>
      <c r="K209" s="13" t="s">
        <v>105</v>
      </c>
      <c r="L209">
        <f>MONTH(tb_investimentos[[#This Row],[DATA]])</f>
        <v>10</v>
      </c>
      <c r="M209">
        <f>YEAR(tb_investimentos[[#This Row],[DATA]])</f>
        <v>2027</v>
      </c>
      <c r="N209">
        <f>DAY(tb_investimentos[[#This Row],[DATA]])</f>
        <v>24</v>
      </c>
      <c r="O209">
        <f t="shared" si="7"/>
        <v>650</v>
      </c>
      <c r="P209">
        <f>tb_investimentos[[#This Row],[PREÇO MÉDIO PONDERADO]]*tb_investimentos[[#This Row],[QUANTIDADE]]</f>
        <v>650</v>
      </c>
      <c r="Q209" s="58" t="str">
        <f ca="1">IFERROR(_xlfn.XLOOKUP(tb_investimentos[[#This Row],[DESCRIÇÃO]],tb_acoes[Símbolo do ticker],tb_acoes[Preço]),"")</f>
        <v/>
      </c>
      <c r="R209" s="58" t="str">
        <f ca="1">IFERROR(tb_investimentos[[#This Row],[QUANTIDADE]]*tb_investimentos[[#This Row],[PREÇO MERCADO]],"")</f>
        <v/>
      </c>
      <c r="S209" s="58" t="str">
        <f ca="1">IFERROR(tb_investimentos[[#This Row],[VALOR TOTAL MERCADO]]-tb_investimentos[[#This Row],[VALOR TOTAL PONDERADO]],"")</f>
        <v/>
      </c>
      <c r="T209" s="58" t="str">
        <f ca="1">IFERROR(_xlfn.XLOOKUP(tb_investimentos[[#This Row],[DESCRIÇÃO]],'INFO AÇÕES'!E:E,'INFO AÇÕES'!H:H),"")</f>
        <v/>
      </c>
      <c r="U209" s="59" t="str">
        <f ca="1">IFERROR((tb_investimentos[[#This Row],[VALOR TOTAL MERCADO]]-tb_investimentos[[#This Row],[VALOR TOTAL PONDERADO]])/tb_investimentos[[#This Row],[VALOR TOTAL PONDERADO]],"")</f>
        <v/>
      </c>
    </row>
    <row r="210" spans="2:21" hidden="1" x14ac:dyDescent="0.2">
      <c r="B210" s="13" t="s">
        <v>77</v>
      </c>
      <c r="C210" s="10">
        <v>46688</v>
      </c>
      <c r="D210" s="9" t="s">
        <v>82</v>
      </c>
      <c r="E210" s="11" t="str">
        <f>IF(tb_investimentos[[#This Row],[TIPO MOVIMENTAÇÃO]]="Aporte",_xlfn.XLOOKUP(tb_investimentos[[#This Row],[DESCRIÇÃO]],'INFO AÇÕES'!E:E,'INFO AÇÕES'!I:I),"BRL")</f>
        <v>BRL</v>
      </c>
      <c r="F210" s="75" t="s">
        <v>81</v>
      </c>
      <c r="G210" s="11">
        <v>1</v>
      </c>
      <c r="H210" s="12">
        <v>650</v>
      </c>
      <c r="I210" s="13" t="s">
        <v>107</v>
      </c>
      <c r="J210" s="51">
        <f t="shared" si="6"/>
        <v>650</v>
      </c>
      <c r="K210" s="13" t="s">
        <v>105</v>
      </c>
      <c r="L210">
        <f>MONTH(tb_investimentos[[#This Row],[DATA]])</f>
        <v>10</v>
      </c>
      <c r="M210">
        <f>YEAR(tb_investimentos[[#This Row],[DATA]])</f>
        <v>2027</v>
      </c>
      <c r="N210">
        <f>DAY(tb_investimentos[[#This Row],[DATA]])</f>
        <v>28</v>
      </c>
      <c r="O210">
        <f t="shared" si="7"/>
        <v>650</v>
      </c>
      <c r="P210">
        <f>tb_investimentos[[#This Row],[PREÇO MÉDIO PONDERADO]]*tb_investimentos[[#This Row],[QUANTIDADE]]</f>
        <v>650</v>
      </c>
      <c r="Q210" s="58" t="str">
        <f ca="1">IFERROR(_xlfn.XLOOKUP(tb_investimentos[[#This Row],[DESCRIÇÃO]],tb_acoes[Símbolo do ticker],tb_acoes[Preço]),"")</f>
        <v/>
      </c>
      <c r="R210" s="58" t="str">
        <f ca="1">IFERROR(tb_investimentos[[#This Row],[QUANTIDADE]]*tb_investimentos[[#This Row],[PREÇO MERCADO]],"")</f>
        <v/>
      </c>
      <c r="S210" s="58" t="str">
        <f ca="1">IFERROR(tb_investimentos[[#This Row],[VALOR TOTAL MERCADO]]-tb_investimentos[[#This Row],[VALOR TOTAL PONDERADO]],"")</f>
        <v/>
      </c>
      <c r="T210" s="58" t="str">
        <f ca="1">IFERROR(_xlfn.XLOOKUP(tb_investimentos[[#This Row],[DESCRIÇÃO]],'INFO AÇÕES'!E:E,'INFO AÇÕES'!H:H),"")</f>
        <v/>
      </c>
      <c r="U210" s="59" t="str">
        <f ca="1">IFERROR((tb_investimentos[[#This Row],[VALOR TOTAL MERCADO]]-tb_investimentos[[#This Row],[VALOR TOTAL PONDERADO]])/tb_investimentos[[#This Row],[VALOR TOTAL PONDERADO]],"")</f>
        <v/>
      </c>
    </row>
    <row r="211" spans="2:21" hidden="1" x14ac:dyDescent="0.2">
      <c r="B211" s="13" t="s">
        <v>72</v>
      </c>
      <c r="C211" s="72">
        <v>46696</v>
      </c>
      <c r="D211" s="9" t="s">
        <v>76</v>
      </c>
      <c r="E211" s="11" t="str">
        <f>IF(tb_investimentos[[#This Row],[TIPO MOVIMENTAÇÃO]]="Aporte",_xlfn.XLOOKUP(tb_investimentos[[#This Row],[DESCRIÇÃO]],'INFO AÇÕES'!E:E,'INFO AÇÕES'!I:I),"BRL")</f>
        <v>BRL</v>
      </c>
      <c r="F211" s="75" t="s">
        <v>73</v>
      </c>
      <c r="G211" s="11">
        <v>1</v>
      </c>
      <c r="H211" s="12">
        <v>8000</v>
      </c>
      <c r="I211" s="13" t="s">
        <v>107</v>
      </c>
      <c r="J211" s="51">
        <f t="shared" si="6"/>
        <v>8000</v>
      </c>
      <c r="K211" s="13" t="s">
        <v>105</v>
      </c>
      <c r="L211">
        <f>MONTH(tb_investimentos[[#This Row],[DATA]])</f>
        <v>11</v>
      </c>
      <c r="M211">
        <f>YEAR(tb_investimentos[[#This Row],[DATA]])</f>
        <v>2027</v>
      </c>
      <c r="N211">
        <f>DAY(tb_investimentos[[#This Row],[DATA]])</f>
        <v>5</v>
      </c>
      <c r="O211">
        <f t="shared" si="7"/>
        <v>7801.7948717948721</v>
      </c>
      <c r="P211">
        <f>tb_investimentos[[#This Row],[PREÇO MÉDIO PONDERADO]]*tb_investimentos[[#This Row],[QUANTIDADE]]</f>
        <v>7801.7948717948721</v>
      </c>
      <c r="Q211" s="58" t="str">
        <f ca="1">IFERROR(_xlfn.XLOOKUP(tb_investimentos[[#This Row],[DESCRIÇÃO]],tb_acoes[Símbolo do ticker],tb_acoes[Preço]),"")</f>
        <v/>
      </c>
      <c r="R211" s="58" t="str">
        <f ca="1">IFERROR(tb_investimentos[[#This Row],[QUANTIDADE]]*tb_investimentos[[#This Row],[PREÇO MERCADO]],"")</f>
        <v/>
      </c>
      <c r="S211" s="58" t="str">
        <f ca="1">IFERROR(tb_investimentos[[#This Row],[VALOR TOTAL MERCADO]]-tb_investimentos[[#This Row],[VALOR TOTAL PONDERADO]],"")</f>
        <v/>
      </c>
      <c r="T211" s="58" t="str">
        <f ca="1">IFERROR(_xlfn.XLOOKUP(tb_investimentos[[#This Row],[DESCRIÇÃO]],'INFO AÇÕES'!E:E,'INFO AÇÕES'!H:H),"")</f>
        <v/>
      </c>
      <c r="U211" s="59" t="str">
        <f ca="1">IFERROR((tb_investimentos[[#This Row],[VALOR TOTAL MERCADO]]-tb_investimentos[[#This Row],[VALOR TOTAL PONDERADO]])/tb_investimentos[[#This Row],[VALOR TOTAL PONDERADO]],"")</f>
        <v/>
      </c>
    </row>
    <row r="212" spans="2:21" hidden="1" x14ac:dyDescent="0.2">
      <c r="B212" s="13" t="s">
        <v>39</v>
      </c>
      <c r="C212" s="10">
        <v>46696</v>
      </c>
      <c r="D212" s="9"/>
      <c r="E212" s="11">
        <f ca="1">IF(tb_investimentos[[#This Row],[TIPO MOVIMENTAÇÃO]]="Aporte",_xlfn.XLOOKUP(tb_investimentos[[#This Row],[DESCRIÇÃO]],'INFO AÇÕES'!E:E,'INFO AÇÕES'!I:I),"BRL")</f>
        <v>0</v>
      </c>
      <c r="F212" s="73" t="s">
        <v>10</v>
      </c>
      <c r="G212" s="11">
        <v>1</v>
      </c>
      <c r="H212" s="12">
        <v>3500</v>
      </c>
      <c r="I212" s="13" t="s">
        <v>58</v>
      </c>
      <c r="J212" s="51">
        <f t="shared" si="6"/>
        <v>3500</v>
      </c>
      <c r="K212" s="11" t="s">
        <v>105</v>
      </c>
      <c r="L212">
        <f>MONTH(tb_investimentos[[#This Row],[DATA]])</f>
        <v>11</v>
      </c>
      <c r="M212">
        <f>YEAR(tb_investimentos[[#This Row],[DATA]])</f>
        <v>2027</v>
      </c>
      <c r="N212">
        <f>DAY(tb_investimentos[[#This Row],[DATA]])</f>
        <v>5</v>
      </c>
      <c r="O212" t="e">
        <f t="shared" si="7"/>
        <v>#DIV/0!</v>
      </c>
      <c r="P212" t="e">
        <f>tb_investimentos[[#This Row],[PREÇO MÉDIO PONDERADO]]*tb_investimentos[[#This Row],[QUANTIDADE]]</f>
        <v>#DIV/0!</v>
      </c>
      <c r="Q212" s="58" t="str">
        <f ca="1">IFERROR(_xlfn.XLOOKUP(tb_investimentos[[#This Row],[DESCRIÇÃO]],tb_acoes[Símbolo do ticker],tb_acoes[Preço]),"")</f>
        <v/>
      </c>
      <c r="R212" s="58" t="str">
        <f ca="1">IFERROR(tb_investimentos[[#This Row],[QUANTIDADE]]*tb_investimentos[[#This Row],[PREÇO MERCADO]],"")</f>
        <v/>
      </c>
      <c r="S212" s="58" t="str">
        <f ca="1">IFERROR(tb_investimentos[[#This Row],[VALOR TOTAL MERCADO]]-tb_investimentos[[#This Row],[VALOR TOTAL PONDERADO]],"")</f>
        <v/>
      </c>
      <c r="T212" s="58" t="str">
        <f ca="1">IFERROR(_xlfn.XLOOKUP(tb_investimentos[[#This Row],[DESCRIÇÃO]],'INFO AÇÕES'!E:E,'INFO AÇÕES'!H:H),"")</f>
        <v/>
      </c>
      <c r="U212" s="59" t="str">
        <f ca="1">IFERROR((tb_investimentos[[#This Row],[VALOR TOTAL MERCADO]]-tb_investimentos[[#This Row],[VALOR TOTAL PONDERADO]])/tb_investimentos[[#This Row],[VALOR TOTAL PONDERADO]],"")</f>
        <v/>
      </c>
    </row>
    <row r="213" spans="2:21" hidden="1" x14ac:dyDescent="0.2">
      <c r="B213" s="13" t="s">
        <v>77</v>
      </c>
      <c r="C213" s="10">
        <v>46701</v>
      </c>
      <c r="D213" s="9" t="s">
        <v>85</v>
      </c>
      <c r="E213" s="11" t="str">
        <f>IF(tb_investimentos[[#This Row],[TIPO MOVIMENTAÇÃO]]="Aporte",_xlfn.XLOOKUP(tb_investimentos[[#This Row],[DESCRIÇÃO]],'INFO AÇÕES'!E:E,'INFO AÇÕES'!I:I),"BRL")</f>
        <v>BRL</v>
      </c>
      <c r="F213" s="75" t="s">
        <v>104</v>
      </c>
      <c r="G213" s="11">
        <v>1</v>
      </c>
      <c r="H213" s="12">
        <v>95</v>
      </c>
      <c r="I213" s="13" t="s">
        <v>107</v>
      </c>
      <c r="J213" s="51">
        <f t="shared" si="6"/>
        <v>95</v>
      </c>
      <c r="K213" s="13" t="s">
        <v>105</v>
      </c>
      <c r="L213">
        <f>MONTH(tb_investimentos[[#This Row],[DATA]])</f>
        <v>11</v>
      </c>
      <c r="M213">
        <f>YEAR(tb_investimentos[[#This Row],[DATA]])</f>
        <v>2027</v>
      </c>
      <c r="N213">
        <f>DAY(tb_investimentos[[#This Row],[DATA]])</f>
        <v>10</v>
      </c>
      <c r="O213">
        <f t="shared" si="7"/>
        <v>95</v>
      </c>
      <c r="P213">
        <f>tb_investimentos[[#This Row],[PREÇO MÉDIO PONDERADO]]*tb_investimentos[[#This Row],[QUANTIDADE]]</f>
        <v>95</v>
      </c>
      <c r="Q213" s="58" t="str">
        <f ca="1">IFERROR(_xlfn.XLOOKUP(tb_investimentos[[#This Row],[DESCRIÇÃO]],tb_acoes[Símbolo do ticker],tb_acoes[Preço]),"")</f>
        <v/>
      </c>
      <c r="R213" s="58" t="str">
        <f ca="1">IFERROR(tb_investimentos[[#This Row],[QUANTIDADE]]*tb_investimentos[[#This Row],[PREÇO MERCADO]],"")</f>
        <v/>
      </c>
      <c r="S213" s="58" t="str">
        <f ca="1">IFERROR(tb_investimentos[[#This Row],[VALOR TOTAL MERCADO]]-tb_investimentos[[#This Row],[VALOR TOTAL PONDERADO]],"")</f>
        <v/>
      </c>
      <c r="T213" s="58" t="str">
        <f ca="1">IFERROR(_xlfn.XLOOKUP(tb_investimentos[[#This Row],[DESCRIÇÃO]],'INFO AÇÕES'!E:E,'INFO AÇÕES'!H:H),"")</f>
        <v/>
      </c>
      <c r="U213" s="59" t="str">
        <f ca="1">IFERROR((tb_investimentos[[#This Row],[VALOR TOTAL MERCADO]]-tb_investimentos[[#This Row],[VALOR TOTAL PONDERADO]])/tb_investimentos[[#This Row],[VALOR TOTAL PONDERADO]],"")</f>
        <v/>
      </c>
    </row>
    <row r="214" spans="2:21" hidden="1" x14ac:dyDescent="0.2">
      <c r="B214" s="13" t="s">
        <v>77</v>
      </c>
      <c r="C214" s="10">
        <v>46702</v>
      </c>
      <c r="D214" s="9" t="s">
        <v>107</v>
      </c>
      <c r="E214" s="11" t="str">
        <f>IF(tb_investimentos[[#This Row],[TIPO MOVIMENTAÇÃO]]="Aporte",_xlfn.XLOOKUP(tb_investimentos[[#This Row],[DESCRIÇÃO]],'INFO AÇÕES'!E:E,'INFO AÇÕES'!I:I),"BRL")</f>
        <v>BRL</v>
      </c>
      <c r="F214" s="75" t="s">
        <v>106</v>
      </c>
      <c r="G214" s="11">
        <v>1</v>
      </c>
      <c r="H214" s="12">
        <v>500</v>
      </c>
      <c r="I214" s="13" t="s">
        <v>107</v>
      </c>
      <c r="J214" s="51">
        <f t="shared" si="6"/>
        <v>500</v>
      </c>
      <c r="K214" s="13" t="s">
        <v>105</v>
      </c>
      <c r="L214">
        <f>MONTH(tb_investimentos[[#This Row],[DATA]])</f>
        <v>11</v>
      </c>
      <c r="M214">
        <f>YEAR(tb_investimentos[[#This Row],[DATA]])</f>
        <v>2027</v>
      </c>
      <c r="N214">
        <f>DAY(tb_investimentos[[#This Row],[DATA]])</f>
        <v>11</v>
      </c>
      <c r="O214">
        <f t="shared" si="7"/>
        <v>515.93333333333328</v>
      </c>
      <c r="P214">
        <f>tb_investimentos[[#This Row],[PREÇO MÉDIO PONDERADO]]*tb_investimentos[[#This Row],[QUANTIDADE]]</f>
        <v>515.93333333333328</v>
      </c>
      <c r="Q214" s="58" t="str">
        <f ca="1">IFERROR(_xlfn.XLOOKUP(tb_investimentos[[#This Row],[DESCRIÇÃO]],tb_acoes[Símbolo do ticker],tb_acoes[Preço]),"")</f>
        <v/>
      </c>
      <c r="R214" s="58" t="str">
        <f ca="1">IFERROR(tb_investimentos[[#This Row],[QUANTIDADE]]*tb_investimentos[[#This Row],[PREÇO MERCADO]],"")</f>
        <v/>
      </c>
      <c r="S214" s="58" t="str">
        <f ca="1">IFERROR(tb_investimentos[[#This Row],[VALOR TOTAL MERCADO]]-tb_investimentos[[#This Row],[VALOR TOTAL PONDERADO]],"")</f>
        <v/>
      </c>
      <c r="T214" s="58" t="str">
        <f ca="1">IFERROR(_xlfn.XLOOKUP(tb_investimentos[[#This Row],[DESCRIÇÃO]],'INFO AÇÕES'!E:E,'INFO AÇÕES'!H:H),"")</f>
        <v/>
      </c>
      <c r="U214" s="59" t="str">
        <f ca="1">IFERROR((tb_investimentos[[#This Row],[VALOR TOTAL MERCADO]]-tb_investimentos[[#This Row],[VALOR TOTAL PONDERADO]])/tb_investimentos[[#This Row],[VALOR TOTAL PONDERADO]],"")</f>
        <v/>
      </c>
    </row>
    <row r="215" spans="2:21" hidden="1" x14ac:dyDescent="0.2">
      <c r="B215" s="13" t="s">
        <v>77</v>
      </c>
      <c r="C215" s="10">
        <v>46702</v>
      </c>
      <c r="D215" s="9" t="s">
        <v>80</v>
      </c>
      <c r="E215" s="11" t="str">
        <f>IF(tb_investimentos[[#This Row],[TIPO MOVIMENTAÇÃO]]="Aporte",_xlfn.XLOOKUP(tb_investimentos[[#This Row],[DESCRIÇÃO]],'INFO AÇÕES'!E:E,'INFO AÇÕES'!I:I),"BRL")</f>
        <v>BRL</v>
      </c>
      <c r="F215" s="75" t="s">
        <v>99</v>
      </c>
      <c r="G215" s="11">
        <v>1</v>
      </c>
      <c r="H215" s="12">
        <v>25</v>
      </c>
      <c r="I215" s="13" t="s">
        <v>107</v>
      </c>
      <c r="J215" s="51">
        <f t="shared" si="6"/>
        <v>25</v>
      </c>
      <c r="K215" s="13" t="s">
        <v>105</v>
      </c>
      <c r="L215">
        <f>MONTH(tb_investimentos[[#This Row],[DATA]])</f>
        <v>11</v>
      </c>
      <c r="M215">
        <f>YEAR(tb_investimentos[[#This Row],[DATA]])</f>
        <v>2027</v>
      </c>
      <c r="N215">
        <f>DAY(tb_investimentos[[#This Row],[DATA]])</f>
        <v>11</v>
      </c>
      <c r="O215">
        <f t="shared" si="7"/>
        <v>25</v>
      </c>
      <c r="P215">
        <f>tb_investimentos[[#This Row],[PREÇO MÉDIO PONDERADO]]*tb_investimentos[[#This Row],[QUANTIDADE]]</f>
        <v>25</v>
      </c>
      <c r="Q215" s="58" t="str">
        <f ca="1">IFERROR(_xlfn.XLOOKUP(tb_investimentos[[#This Row],[DESCRIÇÃO]],tb_acoes[Símbolo do ticker],tb_acoes[Preço]),"")</f>
        <v/>
      </c>
      <c r="R215" s="58" t="str">
        <f ca="1">IFERROR(tb_investimentos[[#This Row],[QUANTIDADE]]*tb_investimentos[[#This Row],[PREÇO MERCADO]],"")</f>
        <v/>
      </c>
      <c r="S215" s="58" t="str">
        <f ca="1">IFERROR(tb_investimentos[[#This Row],[VALOR TOTAL MERCADO]]-tb_investimentos[[#This Row],[VALOR TOTAL PONDERADO]],"")</f>
        <v/>
      </c>
      <c r="T215" s="58" t="str">
        <f ca="1">IFERROR(_xlfn.XLOOKUP(tb_investimentos[[#This Row],[DESCRIÇÃO]],'INFO AÇÕES'!E:E,'INFO AÇÕES'!H:H),"")</f>
        <v/>
      </c>
      <c r="U215" s="59" t="str">
        <f ca="1">IFERROR((tb_investimentos[[#This Row],[VALOR TOTAL MERCADO]]-tb_investimentos[[#This Row],[VALOR TOTAL PONDERADO]])/tb_investimentos[[#This Row],[VALOR TOTAL PONDERADO]],"")</f>
        <v/>
      </c>
    </row>
    <row r="216" spans="2:21" hidden="1" x14ac:dyDescent="0.2">
      <c r="B216" s="13" t="s">
        <v>77</v>
      </c>
      <c r="C216" s="10">
        <v>46702</v>
      </c>
      <c r="D216" s="9" t="s">
        <v>92</v>
      </c>
      <c r="E216" s="11" t="str">
        <f>IF(tb_investimentos[[#This Row],[TIPO MOVIMENTAÇÃO]]="Aporte",_xlfn.XLOOKUP(tb_investimentos[[#This Row],[DESCRIÇÃO]],'INFO AÇÕES'!E:E,'INFO AÇÕES'!I:I),"BRL")</f>
        <v>BRL</v>
      </c>
      <c r="F216" s="75" t="s">
        <v>93</v>
      </c>
      <c r="G216" s="11">
        <v>1</v>
      </c>
      <c r="H216" s="12">
        <v>205</v>
      </c>
      <c r="I216" s="13" t="s">
        <v>107</v>
      </c>
      <c r="J216" s="51">
        <f t="shared" si="6"/>
        <v>205</v>
      </c>
      <c r="K216" s="13" t="s">
        <v>105</v>
      </c>
      <c r="L216">
        <f>MONTH(tb_investimentos[[#This Row],[DATA]])</f>
        <v>11</v>
      </c>
      <c r="M216">
        <f>YEAR(tb_investimentos[[#This Row],[DATA]])</f>
        <v>2027</v>
      </c>
      <c r="N216">
        <f>DAY(tb_investimentos[[#This Row],[DATA]])</f>
        <v>11</v>
      </c>
      <c r="O216">
        <f t="shared" si="7"/>
        <v>205</v>
      </c>
      <c r="P216">
        <f>tb_investimentos[[#This Row],[PREÇO MÉDIO PONDERADO]]*tb_investimentos[[#This Row],[QUANTIDADE]]</f>
        <v>205</v>
      </c>
      <c r="Q216" s="58" t="str">
        <f ca="1">IFERROR(_xlfn.XLOOKUP(tb_investimentos[[#This Row],[DESCRIÇÃO]],tb_acoes[Símbolo do ticker],tb_acoes[Preço]),"")</f>
        <v/>
      </c>
      <c r="R216" s="58" t="str">
        <f ca="1">IFERROR(tb_investimentos[[#This Row],[QUANTIDADE]]*tb_investimentos[[#This Row],[PREÇO MERCADO]],"")</f>
        <v/>
      </c>
      <c r="S216" s="58" t="str">
        <f ca="1">IFERROR(tb_investimentos[[#This Row],[VALOR TOTAL MERCADO]]-tb_investimentos[[#This Row],[VALOR TOTAL PONDERADO]],"")</f>
        <v/>
      </c>
      <c r="T216" s="58" t="str">
        <f ca="1">IFERROR(_xlfn.XLOOKUP(tb_investimentos[[#This Row],[DESCRIÇÃO]],'INFO AÇÕES'!E:E,'INFO AÇÕES'!H:H),"")</f>
        <v/>
      </c>
      <c r="U216" s="59" t="str">
        <f ca="1">IFERROR((tb_investimentos[[#This Row],[VALOR TOTAL MERCADO]]-tb_investimentos[[#This Row],[VALOR TOTAL PONDERADO]])/tb_investimentos[[#This Row],[VALOR TOTAL PONDERADO]],"")</f>
        <v/>
      </c>
    </row>
    <row r="217" spans="2:21" hidden="1" x14ac:dyDescent="0.2">
      <c r="B217" s="13" t="s">
        <v>77</v>
      </c>
      <c r="C217" s="10">
        <v>46702</v>
      </c>
      <c r="D217" s="9" t="s">
        <v>107</v>
      </c>
      <c r="E217" s="11" t="str">
        <f>IF(tb_investimentos[[#This Row],[TIPO MOVIMENTAÇÃO]]="Aporte",_xlfn.XLOOKUP(tb_investimentos[[#This Row],[DESCRIÇÃO]],'INFO AÇÕES'!E:E,'INFO AÇÕES'!I:I),"BRL")</f>
        <v>BRL</v>
      </c>
      <c r="F217" s="75" t="s">
        <v>106</v>
      </c>
      <c r="G217" s="11">
        <v>1</v>
      </c>
      <c r="H217" s="12">
        <v>500</v>
      </c>
      <c r="I217" s="13" t="s">
        <v>107</v>
      </c>
      <c r="J217" s="51">
        <f t="shared" si="6"/>
        <v>500</v>
      </c>
      <c r="K217" s="13" t="s">
        <v>105</v>
      </c>
      <c r="L217">
        <f>MONTH(tb_investimentos[[#This Row],[DATA]])</f>
        <v>11</v>
      </c>
      <c r="M217">
        <f>YEAR(tb_investimentos[[#This Row],[DATA]])</f>
        <v>2027</v>
      </c>
      <c r="N217">
        <f>DAY(tb_investimentos[[#This Row],[DATA]])</f>
        <v>11</v>
      </c>
      <c r="O217">
        <f t="shared" si="7"/>
        <v>515.93333333333328</v>
      </c>
      <c r="P217">
        <f>tb_investimentos[[#This Row],[PREÇO MÉDIO PONDERADO]]*tb_investimentos[[#This Row],[QUANTIDADE]]</f>
        <v>515.93333333333328</v>
      </c>
      <c r="Q217" s="58" t="str">
        <f ca="1">IFERROR(_xlfn.XLOOKUP(tb_investimentos[[#This Row],[DESCRIÇÃO]],tb_acoes[Símbolo do ticker],tb_acoes[Preço]),"")</f>
        <v/>
      </c>
      <c r="R217" s="58" t="str">
        <f ca="1">IFERROR(tb_investimentos[[#This Row],[QUANTIDADE]]*tb_investimentos[[#This Row],[PREÇO MERCADO]],"")</f>
        <v/>
      </c>
      <c r="S217" s="58" t="str">
        <f ca="1">IFERROR(tb_investimentos[[#This Row],[VALOR TOTAL MERCADO]]-tb_investimentos[[#This Row],[VALOR TOTAL PONDERADO]],"")</f>
        <v/>
      </c>
      <c r="T217" s="58" t="str">
        <f ca="1">IFERROR(_xlfn.XLOOKUP(tb_investimentos[[#This Row],[DESCRIÇÃO]],'INFO AÇÕES'!E:E,'INFO AÇÕES'!H:H),"")</f>
        <v/>
      </c>
      <c r="U217" s="59" t="str">
        <f ca="1">IFERROR((tb_investimentos[[#This Row],[VALOR TOTAL MERCADO]]-tb_investimentos[[#This Row],[VALOR TOTAL PONDERADO]])/tb_investimentos[[#This Row],[VALOR TOTAL PONDERADO]],"")</f>
        <v/>
      </c>
    </row>
    <row r="218" spans="2:21" hidden="1" x14ac:dyDescent="0.2">
      <c r="B218" s="13" t="s">
        <v>77</v>
      </c>
      <c r="C218" s="10">
        <v>46703</v>
      </c>
      <c r="D218" s="9" t="s">
        <v>89</v>
      </c>
      <c r="E218" s="11" t="str">
        <f>IF(tb_investimentos[[#This Row],[TIPO MOVIMENTAÇÃO]]="Aporte",_xlfn.XLOOKUP(tb_investimentos[[#This Row],[DESCRIÇÃO]],'INFO AÇÕES'!E:E,'INFO AÇÕES'!I:I),"BRL")</f>
        <v>BRL</v>
      </c>
      <c r="F218" s="75" t="s">
        <v>90</v>
      </c>
      <c r="G218" s="11">
        <v>1</v>
      </c>
      <c r="H218" s="12">
        <v>16.899999999999999</v>
      </c>
      <c r="I218" s="13" t="s">
        <v>107</v>
      </c>
      <c r="J218" s="51">
        <f t="shared" si="6"/>
        <v>16.899999999999999</v>
      </c>
      <c r="K218" s="13" t="s">
        <v>105</v>
      </c>
      <c r="L218">
        <f>MONTH(tb_investimentos[[#This Row],[DATA]])</f>
        <v>11</v>
      </c>
      <c r="M218">
        <f>YEAR(tb_investimentos[[#This Row],[DATA]])</f>
        <v>2027</v>
      </c>
      <c r="N218">
        <f>DAY(tb_investimentos[[#This Row],[DATA]])</f>
        <v>12</v>
      </c>
      <c r="O218">
        <f t="shared" si="7"/>
        <v>137.33453714285722</v>
      </c>
      <c r="P218">
        <f>tb_investimentos[[#This Row],[PREÇO MÉDIO PONDERADO]]*tb_investimentos[[#This Row],[QUANTIDADE]]</f>
        <v>137.33453714285722</v>
      </c>
      <c r="Q218" s="58" t="str">
        <f ca="1">IFERROR(_xlfn.XLOOKUP(tb_investimentos[[#This Row],[DESCRIÇÃO]],tb_acoes[Símbolo do ticker],tb_acoes[Preço]),"")</f>
        <v/>
      </c>
      <c r="R218" s="58" t="str">
        <f ca="1">IFERROR(tb_investimentos[[#This Row],[QUANTIDADE]]*tb_investimentos[[#This Row],[PREÇO MERCADO]],"")</f>
        <v/>
      </c>
      <c r="S218" s="58" t="str">
        <f ca="1">IFERROR(tb_investimentos[[#This Row],[VALOR TOTAL MERCADO]]-tb_investimentos[[#This Row],[VALOR TOTAL PONDERADO]],"")</f>
        <v/>
      </c>
      <c r="T218" s="58" t="str">
        <f ca="1">IFERROR(_xlfn.XLOOKUP(tb_investimentos[[#This Row],[DESCRIÇÃO]],'INFO AÇÕES'!E:E,'INFO AÇÕES'!H:H),"")</f>
        <v/>
      </c>
      <c r="U218" s="59" t="str">
        <f ca="1">IFERROR((tb_investimentos[[#This Row],[VALOR TOTAL MERCADO]]-tb_investimentos[[#This Row],[VALOR TOTAL PONDERADO]])/tb_investimentos[[#This Row],[VALOR TOTAL PONDERADO]],"")</f>
        <v/>
      </c>
    </row>
    <row r="219" spans="2:21" hidden="1" x14ac:dyDescent="0.2">
      <c r="B219" s="13" t="s">
        <v>77</v>
      </c>
      <c r="C219" s="72">
        <v>46706</v>
      </c>
      <c r="D219" s="9" t="s">
        <v>78</v>
      </c>
      <c r="E219" s="11" t="str">
        <f>IF(tb_investimentos[[#This Row],[TIPO MOVIMENTAÇÃO]]="Aporte",_xlfn.XLOOKUP(tb_investimentos[[#This Row],[DESCRIÇÃO]],'INFO AÇÕES'!E:E,'INFO AÇÕES'!I:I),"BRL")</f>
        <v>BRL</v>
      </c>
      <c r="F219" s="75" t="s">
        <v>102</v>
      </c>
      <c r="G219" s="11">
        <v>1</v>
      </c>
      <c r="H219" s="12">
        <v>39.9</v>
      </c>
      <c r="I219" s="13" t="s">
        <v>107</v>
      </c>
      <c r="J219" s="51">
        <f t="shared" si="6"/>
        <v>39.9</v>
      </c>
      <c r="K219" s="13" t="s">
        <v>105</v>
      </c>
      <c r="L219">
        <f>MONTH(tb_investimentos[[#This Row],[DATA]])</f>
        <v>11</v>
      </c>
      <c r="M219">
        <f>YEAR(tb_investimentos[[#This Row],[DATA]])</f>
        <v>2027</v>
      </c>
      <c r="N219">
        <f>DAY(tb_investimentos[[#This Row],[DATA]])</f>
        <v>15</v>
      </c>
      <c r="O219">
        <f t="shared" si="7"/>
        <v>59.90000000000002</v>
      </c>
      <c r="P219">
        <f>tb_investimentos[[#This Row],[PREÇO MÉDIO PONDERADO]]*tb_investimentos[[#This Row],[QUANTIDADE]]</f>
        <v>59.90000000000002</v>
      </c>
      <c r="Q219" s="58" t="str">
        <f ca="1">IFERROR(_xlfn.XLOOKUP(tb_investimentos[[#This Row],[DESCRIÇÃO]],tb_acoes[Símbolo do ticker],tb_acoes[Preço]),"")</f>
        <v/>
      </c>
      <c r="R219" s="58" t="str">
        <f ca="1">IFERROR(tb_investimentos[[#This Row],[QUANTIDADE]]*tb_investimentos[[#This Row],[PREÇO MERCADO]],"")</f>
        <v/>
      </c>
      <c r="S219" s="58" t="str">
        <f ca="1">IFERROR(tb_investimentos[[#This Row],[VALOR TOTAL MERCADO]]-tb_investimentos[[#This Row],[VALOR TOTAL PONDERADO]],"")</f>
        <v/>
      </c>
      <c r="T219" s="58" t="str">
        <f ca="1">IFERROR(_xlfn.XLOOKUP(tb_investimentos[[#This Row],[DESCRIÇÃO]],'INFO AÇÕES'!E:E,'INFO AÇÕES'!H:H),"")</f>
        <v/>
      </c>
      <c r="U219" s="59" t="str">
        <f ca="1">IFERROR((tb_investimentos[[#This Row],[VALOR TOTAL MERCADO]]-tb_investimentos[[#This Row],[VALOR TOTAL PONDERADO]])/tb_investimentos[[#This Row],[VALOR TOTAL PONDERADO]],"")</f>
        <v/>
      </c>
    </row>
    <row r="220" spans="2:21" hidden="1" x14ac:dyDescent="0.2">
      <c r="B220" s="13" t="s">
        <v>77</v>
      </c>
      <c r="C220" s="72">
        <v>46706</v>
      </c>
      <c r="D220" s="9" t="s">
        <v>78</v>
      </c>
      <c r="E220" s="11" t="str">
        <f>IF(tb_investimentos[[#This Row],[TIPO MOVIMENTAÇÃO]]="Aporte",_xlfn.XLOOKUP(tb_investimentos[[#This Row],[DESCRIÇÃO]],'INFO AÇÕES'!E:E,'INFO AÇÕES'!I:I),"BRL")</f>
        <v>BRL</v>
      </c>
      <c r="F220" s="75" t="s">
        <v>101</v>
      </c>
      <c r="G220" s="11">
        <v>1</v>
      </c>
      <c r="H220" s="12">
        <v>79.900000000000006</v>
      </c>
      <c r="I220" s="13" t="s">
        <v>107</v>
      </c>
      <c r="J220" s="51">
        <f t="shared" si="6"/>
        <v>79.900000000000006</v>
      </c>
      <c r="K220" s="13" t="s">
        <v>105</v>
      </c>
      <c r="L220">
        <f>MONTH(tb_investimentos[[#This Row],[DATA]])</f>
        <v>11</v>
      </c>
      <c r="M220">
        <f>YEAR(tb_investimentos[[#This Row],[DATA]])</f>
        <v>2027</v>
      </c>
      <c r="N220">
        <f>DAY(tb_investimentos[[#This Row],[DATA]])</f>
        <v>15</v>
      </c>
      <c r="O220">
        <f t="shared" si="7"/>
        <v>59.90000000000002</v>
      </c>
      <c r="P220">
        <f>tb_investimentos[[#This Row],[PREÇO MÉDIO PONDERADO]]*tb_investimentos[[#This Row],[QUANTIDADE]]</f>
        <v>59.90000000000002</v>
      </c>
      <c r="Q220" s="58" t="str">
        <f ca="1">IFERROR(_xlfn.XLOOKUP(tb_investimentos[[#This Row],[DESCRIÇÃO]],tb_acoes[Símbolo do ticker],tb_acoes[Preço]),"")</f>
        <v/>
      </c>
      <c r="R220" s="58" t="str">
        <f ca="1">IFERROR(tb_investimentos[[#This Row],[QUANTIDADE]]*tb_investimentos[[#This Row],[PREÇO MERCADO]],"")</f>
        <v/>
      </c>
      <c r="S220" s="58" t="str">
        <f ca="1">IFERROR(tb_investimentos[[#This Row],[VALOR TOTAL MERCADO]]-tb_investimentos[[#This Row],[VALOR TOTAL PONDERADO]],"")</f>
        <v/>
      </c>
      <c r="T220" s="58" t="str">
        <f ca="1">IFERROR(_xlfn.XLOOKUP(tb_investimentos[[#This Row],[DESCRIÇÃO]],'INFO AÇÕES'!E:E,'INFO AÇÕES'!H:H),"")</f>
        <v/>
      </c>
      <c r="U220" s="59" t="str">
        <f ca="1">IFERROR((tb_investimentos[[#This Row],[VALOR TOTAL MERCADO]]-tb_investimentos[[#This Row],[VALOR TOTAL PONDERADO]])/tb_investimentos[[#This Row],[VALOR TOTAL PONDERADO]],"")</f>
        <v/>
      </c>
    </row>
    <row r="221" spans="2:21" hidden="1" x14ac:dyDescent="0.2">
      <c r="B221" s="13" t="s">
        <v>77</v>
      </c>
      <c r="C221" s="72">
        <v>46706</v>
      </c>
      <c r="D221" s="9" t="s">
        <v>79</v>
      </c>
      <c r="E221" s="11" t="str">
        <f>IF(tb_investimentos[[#This Row],[TIPO MOVIMENTAÇÃO]]="Aporte",_xlfn.XLOOKUP(tb_investimentos[[#This Row],[DESCRIÇÃO]],'INFO AÇÕES'!E:E,'INFO AÇÕES'!I:I),"BRL")</f>
        <v>BRL</v>
      </c>
      <c r="F221" s="75" t="s">
        <v>100</v>
      </c>
      <c r="G221" s="11">
        <v>1</v>
      </c>
      <c r="H221" s="12">
        <v>110</v>
      </c>
      <c r="I221" s="13" t="s">
        <v>107</v>
      </c>
      <c r="J221" s="51">
        <f t="shared" si="6"/>
        <v>110</v>
      </c>
      <c r="K221" s="13" t="s">
        <v>105</v>
      </c>
      <c r="L221">
        <f>MONTH(tb_investimentos[[#This Row],[DATA]])</f>
        <v>11</v>
      </c>
      <c r="M221">
        <f>YEAR(tb_investimentos[[#This Row],[DATA]])</f>
        <v>2027</v>
      </c>
      <c r="N221">
        <f>DAY(tb_investimentos[[#This Row],[DATA]])</f>
        <v>15</v>
      </c>
      <c r="O221">
        <f t="shared" si="7"/>
        <v>110</v>
      </c>
      <c r="P221">
        <f>tb_investimentos[[#This Row],[PREÇO MÉDIO PONDERADO]]*tb_investimentos[[#This Row],[QUANTIDADE]]</f>
        <v>110</v>
      </c>
      <c r="Q221" s="58" t="str">
        <f ca="1">IFERROR(_xlfn.XLOOKUP(tb_investimentos[[#This Row],[DESCRIÇÃO]],tb_acoes[Símbolo do ticker],tb_acoes[Preço]),"")</f>
        <v/>
      </c>
      <c r="R221" s="58" t="str">
        <f ca="1">IFERROR(tb_investimentos[[#This Row],[QUANTIDADE]]*tb_investimentos[[#This Row],[PREÇO MERCADO]],"")</f>
        <v/>
      </c>
      <c r="S221" s="58" t="str">
        <f ca="1">IFERROR(tb_investimentos[[#This Row],[VALOR TOTAL MERCADO]]-tb_investimentos[[#This Row],[VALOR TOTAL PONDERADO]],"")</f>
        <v/>
      </c>
      <c r="T221" s="58" t="str">
        <f ca="1">IFERROR(_xlfn.XLOOKUP(tb_investimentos[[#This Row],[DESCRIÇÃO]],'INFO AÇÕES'!E:E,'INFO AÇÕES'!H:H),"")</f>
        <v/>
      </c>
      <c r="U221" s="59" t="str">
        <f ca="1">IFERROR((tb_investimentos[[#This Row],[VALOR TOTAL MERCADO]]-tb_investimentos[[#This Row],[VALOR TOTAL PONDERADO]])/tb_investimentos[[#This Row],[VALOR TOTAL PONDERADO]],"")</f>
        <v/>
      </c>
    </row>
    <row r="222" spans="2:21" hidden="1" x14ac:dyDescent="0.2">
      <c r="B222" s="13" t="s">
        <v>77</v>
      </c>
      <c r="C222" s="10">
        <v>46706</v>
      </c>
      <c r="D222" s="9" t="s">
        <v>88</v>
      </c>
      <c r="E222" s="11" t="str">
        <f>IF(tb_investimentos[[#This Row],[TIPO MOVIMENTAÇÃO]]="Aporte",_xlfn.XLOOKUP(tb_investimentos[[#This Row],[DESCRIÇÃO]],'INFO AÇÕES'!E:E,'INFO AÇÕES'!I:I),"BRL")</f>
        <v>BRL</v>
      </c>
      <c r="F222" s="75" t="s">
        <v>91</v>
      </c>
      <c r="G222" s="11">
        <v>1</v>
      </c>
      <c r="H222" s="83">
        <v>1510.14976</v>
      </c>
      <c r="I222" s="13" t="s">
        <v>107</v>
      </c>
      <c r="J222" s="51">
        <f t="shared" si="6"/>
        <v>1510.14976</v>
      </c>
      <c r="K222" s="13" t="s">
        <v>105</v>
      </c>
      <c r="L222">
        <f>MONTH(tb_investimentos[[#This Row],[DATA]])</f>
        <v>11</v>
      </c>
      <c r="M222">
        <f>YEAR(tb_investimentos[[#This Row],[DATA]])</f>
        <v>2027</v>
      </c>
      <c r="N222">
        <f>DAY(tb_investimentos[[#This Row],[DATA]])</f>
        <v>15</v>
      </c>
      <c r="O222">
        <f t="shared" si="7"/>
        <v>1629.9930261538464</v>
      </c>
      <c r="P222">
        <f>tb_investimentos[[#This Row],[PREÇO MÉDIO PONDERADO]]*tb_investimentos[[#This Row],[QUANTIDADE]]</f>
        <v>1629.9930261538464</v>
      </c>
      <c r="Q222" s="58" t="str">
        <f ca="1">IFERROR(_xlfn.XLOOKUP(tb_investimentos[[#This Row],[DESCRIÇÃO]],tb_acoes[Símbolo do ticker],tb_acoes[Preço]),"")</f>
        <v/>
      </c>
      <c r="R222" s="58" t="str">
        <f ca="1">IFERROR(tb_investimentos[[#This Row],[QUANTIDADE]]*tb_investimentos[[#This Row],[PREÇO MERCADO]],"")</f>
        <v/>
      </c>
      <c r="S222" s="58" t="str">
        <f ca="1">IFERROR(tb_investimentos[[#This Row],[VALOR TOTAL MERCADO]]-tb_investimentos[[#This Row],[VALOR TOTAL PONDERADO]],"")</f>
        <v/>
      </c>
      <c r="T222" s="58" t="str">
        <f ca="1">IFERROR(_xlfn.XLOOKUP(tb_investimentos[[#This Row],[DESCRIÇÃO]],'INFO AÇÕES'!E:E,'INFO AÇÕES'!H:H),"")</f>
        <v/>
      </c>
      <c r="U222" s="59" t="str">
        <f ca="1">IFERROR((tb_investimentos[[#This Row],[VALOR TOTAL MERCADO]]-tb_investimentos[[#This Row],[VALOR TOTAL PONDERADO]])/tb_investimentos[[#This Row],[VALOR TOTAL PONDERADO]],"")</f>
        <v/>
      </c>
    </row>
    <row r="223" spans="2:21" hidden="1" x14ac:dyDescent="0.2">
      <c r="B223" s="13" t="s">
        <v>77</v>
      </c>
      <c r="C223" s="10">
        <v>46711</v>
      </c>
      <c r="D223" s="9" t="s">
        <v>94</v>
      </c>
      <c r="E223" s="11" t="str">
        <f>IF(tb_investimentos[[#This Row],[TIPO MOVIMENTAÇÃO]]="Aporte",_xlfn.XLOOKUP(tb_investimentos[[#This Row],[DESCRIÇÃO]],'INFO AÇÕES'!E:E,'INFO AÇÕES'!I:I),"BRL")</f>
        <v>BRL</v>
      </c>
      <c r="F223" s="75" t="s">
        <v>95</v>
      </c>
      <c r="G223" s="11">
        <v>1</v>
      </c>
      <c r="H223" s="12">
        <v>95</v>
      </c>
      <c r="I223" s="13" t="s">
        <v>107</v>
      </c>
      <c r="J223" s="51">
        <f t="shared" si="6"/>
        <v>95</v>
      </c>
      <c r="K223" s="13" t="s">
        <v>105</v>
      </c>
      <c r="L223">
        <f>MONTH(tb_investimentos[[#This Row],[DATA]])</f>
        <v>11</v>
      </c>
      <c r="M223">
        <f>YEAR(tb_investimentos[[#This Row],[DATA]])</f>
        <v>2027</v>
      </c>
      <c r="N223">
        <f>DAY(tb_investimentos[[#This Row],[DATA]])</f>
        <v>20</v>
      </c>
      <c r="O223">
        <f t="shared" si="7"/>
        <v>93.857142857142861</v>
      </c>
      <c r="P223">
        <f>tb_investimentos[[#This Row],[PREÇO MÉDIO PONDERADO]]*tb_investimentos[[#This Row],[QUANTIDADE]]</f>
        <v>93.857142857142861</v>
      </c>
      <c r="Q223" s="58" t="str">
        <f ca="1">IFERROR(_xlfn.XLOOKUP(tb_investimentos[[#This Row],[DESCRIÇÃO]],tb_acoes[Símbolo do ticker],tb_acoes[Preço]),"")</f>
        <v/>
      </c>
      <c r="R223" s="58" t="str">
        <f ca="1">IFERROR(tb_investimentos[[#This Row],[QUANTIDADE]]*tb_investimentos[[#This Row],[PREÇO MERCADO]],"")</f>
        <v/>
      </c>
      <c r="S223" s="58" t="str">
        <f ca="1">IFERROR(tb_investimentos[[#This Row],[VALOR TOTAL MERCADO]]-tb_investimentos[[#This Row],[VALOR TOTAL PONDERADO]],"")</f>
        <v/>
      </c>
      <c r="T223" s="58" t="str">
        <f ca="1">IFERROR(_xlfn.XLOOKUP(tb_investimentos[[#This Row],[DESCRIÇÃO]],'INFO AÇÕES'!E:E,'INFO AÇÕES'!H:H),"")</f>
        <v/>
      </c>
      <c r="U223" s="59" t="str">
        <f ca="1">IFERROR((tb_investimentos[[#This Row],[VALOR TOTAL MERCADO]]-tb_investimentos[[#This Row],[VALOR TOTAL PONDERADO]])/tb_investimentos[[#This Row],[VALOR TOTAL PONDERADO]],"")</f>
        <v/>
      </c>
    </row>
    <row r="224" spans="2:21" hidden="1" x14ac:dyDescent="0.2">
      <c r="B224" s="13" t="s">
        <v>77</v>
      </c>
      <c r="C224" s="10">
        <v>46715</v>
      </c>
      <c r="D224" s="9" t="s">
        <v>84</v>
      </c>
      <c r="E224" s="11" t="str">
        <f>IF(tb_investimentos[[#This Row],[TIPO MOVIMENTAÇÃO]]="Aporte",_xlfn.XLOOKUP(tb_investimentos[[#This Row],[DESCRIÇÃO]],'INFO AÇÕES'!E:E,'INFO AÇÕES'!I:I),"BRL")</f>
        <v>BRL</v>
      </c>
      <c r="F224" s="75" t="s">
        <v>83</v>
      </c>
      <c r="G224" s="11">
        <v>1</v>
      </c>
      <c r="H224" s="12">
        <v>650</v>
      </c>
      <c r="I224" s="13" t="s">
        <v>107</v>
      </c>
      <c r="J224" s="51">
        <f t="shared" si="6"/>
        <v>650</v>
      </c>
      <c r="K224" s="13" t="s">
        <v>105</v>
      </c>
      <c r="L224">
        <f>MONTH(tb_investimentos[[#This Row],[DATA]])</f>
        <v>11</v>
      </c>
      <c r="M224">
        <f>YEAR(tb_investimentos[[#This Row],[DATA]])</f>
        <v>2027</v>
      </c>
      <c r="N224">
        <f>DAY(tb_investimentos[[#This Row],[DATA]])</f>
        <v>24</v>
      </c>
      <c r="O224">
        <f t="shared" si="7"/>
        <v>650</v>
      </c>
      <c r="P224">
        <f>tb_investimentos[[#This Row],[PREÇO MÉDIO PONDERADO]]*tb_investimentos[[#This Row],[QUANTIDADE]]</f>
        <v>650</v>
      </c>
      <c r="Q224" s="58" t="str">
        <f ca="1">IFERROR(_xlfn.XLOOKUP(tb_investimentos[[#This Row],[DESCRIÇÃO]],tb_acoes[Símbolo do ticker],tb_acoes[Preço]),"")</f>
        <v/>
      </c>
      <c r="R224" s="58" t="str">
        <f ca="1">IFERROR(tb_investimentos[[#This Row],[QUANTIDADE]]*tb_investimentos[[#This Row],[PREÇO MERCADO]],"")</f>
        <v/>
      </c>
      <c r="S224" s="58" t="str">
        <f ca="1">IFERROR(tb_investimentos[[#This Row],[VALOR TOTAL MERCADO]]-tb_investimentos[[#This Row],[VALOR TOTAL PONDERADO]],"")</f>
        <v/>
      </c>
      <c r="T224" s="58" t="str">
        <f ca="1">IFERROR(_xlfn.XLOOKUP(tb_investimentos[[#This Row],[DESCRIÇÃO]],'INFO AÇÕES'!E:E,'INFO AÇÕES'!H:H),"")</f>
        <v/>
      </c>
      <c r="U224" s="59" t="str">
        <f ca="1">IFERROR((tb_investimentos[[#This Row],[VALOR TOTAL MERCADO]]-tb_investimentos[[#This Row],[VALOR TOTAL PONDERADO]])/tb_investimentos[[#This Row],[VALOR TOTAL PONDERADO]],"")</f>
        <v/>
      </c>
    </row>
    <row r="225" spans="2:21" hidden="1" x14ac:dyDescent="0.2">
      <c r="B225" s="13" t="s">
        <v>77</v>
      </c>
      <c r="C225" s="10">
        <v>46719</v>
      </c>
      <c r="D225" s="9" t="s">
        <v>82</v>
      </c>
      <c r="E225" s="11" t="str">
        <f>IF(tb_investimentos[[#This Row],[TIPO MOVIMENTAÇÃO]]="Aporte",_xlfn.XLOOKUP(tb_investimentos[[#This Row],[DESCRIÇÃO]],'INFO AÇÕES'!E:E,'INFO AÇÕES'!I:I),"BRL")</f>
        <v>BRL</v>
      </c>
      <c r="F225" s="75" t="s">
        <v>81</v>
      </c>
      <c r="G225" s="11">
        <v>1</v>
      </c>
      <c r="H225" s="12">
        <v>650</v>
      </c>
      <c r="I225" s="13" t="s">
        <v>107</v>
      </c>
      <c r="J225" s="51">
        <f t="shared" si="6"/>
        <v>650</v>
      </c>
      <c r="K225" s="13" t="s">
        <v>105</v>
      </c>
      <c r="L225">
        <f>MONTH(tb_investimentos[[#This Row],[DATA]])</f>
        <v>11</v>
      </c>
      <c r="M225">
        <f>YEAR(tb_investimentos[[#This Row],[DATA]])</f>
        <v>2027</v>
      </c>
      <c r="N225">
        <f>DAY(tb_investimentos[[#This Row],[DATA]])</f>
        <v>28</v>
      </c>
      <c r="O225">
        <f t="shared" si="7"/>
        <v>650</v>
      </c>
      <c r="P225">
        <f>tb_investimentos[[#This Row],[PREÇO MÉDIO PONDERADO]]*tb_investimentos[[#This Row],[QUANTIDADE]]</f>
        <v>650</v>
      </c>
      <c r="Q225" s="58" t="str">
        <f ca="1">IFERROR(_xlfn.XLOOKUP(tb_investimentos[[#This Row],[DESCRIÇÃO]],tb_acoes[Símbolo do ticker],tb_acoes[Preço]),"")</f>
        <v/>
      </c>
      <c r="R225" s="58" t="str">
        <f ca="1">IFERROR(tb_investimentos[[#This Row],[QUANTIDADE]]*tb_investimentos[[#This Row],[PREÇO MERCADO]],"")</f>
        <v/>
      </c>
      <c r="S225" s="58" t="str">
        <f ca="1">IFERROR(tb_investimentos[[#This Row],[VALOR TOTAL MERCADO]]-tb_investimentos[[#This Row],[VALOR TOTAL PONDERADO]],"")</f>
        <v/>
      </c>
      <c r="T225" s="58" t="str">
        <f ca="1">IFERROR(_xlfn.XLOOKUP(tb_investimentos[[#This Row],[DESCRIÇÃO]],'INFO AÇÕES'!E:E,'INFO AÇÕES'!H:H),"")</f>
        <v/>
      </c>
      <c r="U225" s="59" t="str">
        <f ca="1">IFERROR((tb_investimentos[[#This Row],[VALOR TOTAL MERCADO]]-tb_investimentos[[#This Row],[VALOR TOTAL PONDERADO]])/tb_investimentos[[#This Row],[VALOR TOTAL PONDERADO]],"")</f>
        <v/>
      </c>
    </row>
    <row r="226" spans="2:21" hidden="1" x14ac:dyDescent="0.2">
      <c r="B226" s="13" t="s">
        <v>72</v>
      </c>
      <c r="C226" s="72">
        <v>46726</v>
      </c>
      <c r="D226" s="9" t="s">
        <v>76</v>
      </c>
      <c r="E226" s="11" t="str">
        <f>IF(tb_investimentos[[#This Row],[TIPO MOVIMENTAÇÃO]]="Aporte",_xlfn.XLOOKUP(tb_investimentos[[#This Row],[DESCRIÇÃO]],'INFO AÇÕES'!E:E,'INFO AÇÕES'!I:I),"BRL")</f>
        <v>BRL</v>
      </c>
      <c r="F226" s="75" t="s">
        <v>73</v>
      </c>
      <c r="G226" s="11">
        <v>1</v>
      </c>
      <c r="H226" s="12">
        <v>8000</v>
      </c>
      <c r="I226" s="13" t="s">
        <v>107</v>
      </c>
      <c r="J226" s="51">
        <f t="shared" si="6"/>
        <v>8000</v>
      </c>
      <c r="K226" s="13" t="s">
        <v>105</v>
      </c>
      <c r="L226">
        <f>MONTH(tb_investimentos[[#This Row],[DATA]])</f>
        <v>12</v>
      </c>
      <c r="M226">
        <f>YEAR(tb_investimentos[[#This Row],[DATA]])</f>
        <v>2027</v>
      </c>
      <c r="N226">
        <f>DAY(tb_investimentos[[#This Row],[DATA]])</f>
        <v>5</v>
      </c>
      <c r="O226">
        <f t="shared" si="7"/>
        <v>7801.7948717948721</v>
      </c>
      <c r="P226">
        <f>tb_investimentos[[#This Row],[PREÇO MÉDIO PONDERADO]]*tb_investimentos[[#This Row],[QUANTIDADE]]</f>
        <v>7801.7948717948721</v>
      </c>
      <c r="Q226" s="58" t="str">
        <f ca="1">IFERROR(_xlfn.XLOOKUP(tb_investimentos[[#This Row],[DESCRIÇÃO]],tb_acoes[Símbolo do ticker],tb_acoes[Preço]),"")</f>
        <v/>
      </c>
      <c r="R226" s="58" t="str">
        <f ca="1">IFERROR(tb_investimentos[[#This Row],[QUANTIDADE]]*tb_investimentos[[#This Row],[PREÇO MERCADO]],"")</f>
        <v/>
      </c>
      <c r="S226" s="58" t="str">
        <f ca="1">IFERROR(tb_investimentos[[#This Row],[VALOR TOTAL MERCADO]]-tb_investimentos[[#This Row],[VALOR TOTAL PONDERADO]],"")</f>
        <v/>
      </c>
      <c r="T226" s="58" t="str">
        <f ca="1">IFERROR(_xlfn.XLOOKUP(tb_investimentos[[#This Row],[DESCRIÇÃO]],'INFO AÇÕES'!E:E,'INFO AÇÕES'!H:H),"")</f>
        <v/>
      </c>
      <c r="U226" s="59" t="str">
        <f ca="1">IFERROR((tb_investimentos[[#This Row],[VALOR TOTAL MERCADO]]-tb_investimentos[[#This Row],[VALOR TOTAL PONDERADO]])/tb_investimentos[[#This Row],[VALOR TOTAL PONDERADO]],"")</f>
        <v/>
      </c>
    </row>
    <row r="227" spans="2:21" hidden="1" x14ac:dyDescent="0.2">
      <c r="B227" s="13" t="s">
        <v>39</v>
      </c>
      <c r="C227" s="10">
        <v>46726</v>
      </c>
      <c r="D227" s="9"/>
      <c r="E227" s="11">
        <f ca="1">IF(tb_investimentos[[#This Row],[TIPO MOVIMENTAÇÃO]]="Aporte",_xlfn.XLOOKUP(tb_investimentos[[#This Row],[DESCRIÇÃO]],'INFO AÇÕES'!E:E,'INFO AÇÕES'!I:I),"BRL")</f>
        <v>0</v>
      </c>
      <c r="F227" s="73" t="s">
        <v>10</v>
      </c>
      <c r="G227" s="11">
        <v>1</v>
      </c>
      <c r="H227" s="12">
        <v>3500</v>
      </c>
      <c r="I227" s="13" t="s">
        <v>58</v>
      </c>
      <c r="J227" s="51">
        <f t="shared" si="6"/>
        <v>3500</v>
      </c>
      <c r="K227" s="11" t="s">
        <v>105</v>
      </c>
      <c r="L227">
        <f>MONTH(tb_investimentos[[#This Row],[DATA]])</f>
        <v>12</v>
      </c>
      <c r="M227">
        <f>YEAR(tb_investimentos[[#This Row],[DATA]])</f>
        <v>2027</v>
      </c>
      <c r="N227">
        <f>DAY(tb_investimentos[[#This Row],[DATA]])</f>
        <v>5</v>
      </c>
      <c r="O227" t="e">
        <f t="shared" si="7"/>
        <v>#DIV/0!</v>
      </c>
      <c r="P227" t="e">
        <f>tb_investimentos[[#This Row],[PREÇO MÉDIO PONDERADO]]*tb_investimentos[[#This Row],[QUANTIDADE]]</f>
        <v>#DIV/0!</v>
      </c>
      <c r="Q227" s="58" t="str">
        <f ca="1">IFERROR(_xlfn.XLOOKUP(tb_investimentos[[#This Row],[DESCRIÇÃO]],tb_acoes[Símbolo do ticker],tb_acoes[Preço]),"")</f>
        <v/>
      </c>
      <c r="R227" s="58" t="str">
        <f ca="1">IFERROR(tb_investimentos[[#This Row],[QUANTIDADE]]*tb_investimentos[[#This Row],[PREÇO MERCADO]],"")</f>
        <v/>
      </c>
      <c r="S227" s="58" t="str">
        <f ca="1">IFERROR(tb_investimentos[[#This Row],[VALOR TOTAL MERCADO]]-tb_investimentos[[#This Row],[VALOR TOTAL PONDERADO]],"")</f>
        <v/>
      </c>
      <c r="T227" s="58" t="str">
        <f ca="1">IFERROR(_xlfn.XLOOKUP(tb_investimentos[[#This Row],[DESCRIÇÃO]],'INFO AÇÕES'!E:E,'INFO AÇÕES'!H:H),"")</f>
        <v/>
      </c>
      <c r="U227" s="59" t="str">
        <f ca="1">IFERROR((tb_investimentos[[#This Row],[VALOR TOTAL MERCADO]]-tb_investimentos[[#This Row],[VALOR TOTAL PONDERADO]])/tb_investimentos[[#This Row],[VALOR TOTAL PONDERADO]],"")</f>
        <v/>
      </c>
    </row>
    <row r="228" spans="2:21" hidden="1" x14ac:dyDescent="0.2">
      <c r="B228" s="13" t="s">
        <v>77</v>
      </c>
      <c r="C228" s="10">
        <v>46731</v>
      </c>
      <c r="D228" s="9" t="s">
        <v>85</v>
      </c>
      <c r="E228" s="11" t="str">
        <f>IF(tb_investimentos[[#This Row],[TIPO MOVIMENTAÇÃO]]="Aporte",_xlfn.XLOOKUP(tb_investimentos[[#This Row],[DESCRIÇÃO]],'INFO AÇÕES'!E:E,'INFO AÇÕES'!I:I),"BRL")</f>
        <v>BRL</v>
      </c>
      <c r="F228" s="75" t="s">
        <v>104</v>
      </c>
      <c r="G228" s="11">
        <v>1</v>
      </c>
      <c r="H228" s="12">
        <v>95</v>
      </c>
      <c r="I228" s="13" t="s">
        <v>107</v>
      </c>
      <c r="J228" s="51">
        <f t="shared" si="6"/>
        <v>95</v>
      </c>
      <c r="K228" s="13" t="s">
        <v>105</v>
      </c>
      <c r="L228">
        <f>MONTH(tb_investimentos[[#This Row],[DATA]])</f>
        <v>12</v>
      </c>
      <c r="M228">
        <f>YEAR(tb_investimentos[[#This Row],[DATA]])</f>
        <v>2027</v>
      </c>
      <c r="N228">
        <f>DAY(tb_investimentos[[#This Row],[DATA]])</f>
        <v>10</v>
      </c>
      <c r="O228">
        <f t="shared" si="7"/>
        <v>95</v>
      </c>
      <c r="P228">
        <f>tb_investimentos[[#This Row],[PREÇO MÉDIO PONDERADO]]*tb_investimentos[[#This Row],[QUANTIDADE]]</f>
        <v>95</v>
      </c>
      <c r="Q228" s="58" t="str">
        <f ca="1">IFERROR(_xlfn.XLOOKUP(tb_investimentos[[#This Row],[DESCRIÇÃO]],tb_acoes[Símbolo do ticker],tb_acoes[Preço]),"")</f>
        <v/>
      </c>
      <c r="R228" s="58" t="str">
        <f ca="1">IFERROR(tb_investimentos[[#This Row],[QUANTIDADE]]*tb_investimentos[[#This Row],[PREÇO MERCADO]],"")</f>
        <v/>
      </c>
      <c r="S228" s="58" t="str">
        <f ca="1">IFERROR(tb_investimentos[[#This Row],[VALOR TOTAL MERCADO]]-tb_investimentos[[#This Row],[VALOR TOTAL PONDERADO]],"")</f>
        <v/>
      </c>
      <c r="T228" s="58" t="str">
        <f ca="1">IFERROR(_xlfn.XLOOKUP(tb_investimentos[[#This Row],[DESCRIÇÃO]],'INFO AÇÕES'!E:E,'INFO AÇÕES'!H:H),"")</f>
        <v/>
      </c>
      <c r="U228" s="59" t="str">
        <f ca="1">IFERROR((tb_investimentos[[#This Row],[VALOR TOTAL MERCADO]]-tb_investimentos[[#This Row],[VALOR TOTAL PONDERADO]])/tb_investimentos[[#This Row],[VALOR TOTAL PONDERADO]],"")</f>
        <v/>
      </c>
    </row>
    <row r="229" spans="2:21" hidden="1" x14ac:dyDescent="0.2">
      <c r="B229" s="13" t="s">
        <v>77</v>
      </c>
      <c r="C229" s="10">
        <v>46733</v>
      </c>
      <c r="D229" s="9" t="s">
        <v>107</v>
      </c>
      <c r="E229" s="11" t="str">
        <f>IF(tb_investimentos[[#This Row],[TIPO MOVIMENTAÇÃO]]="Aporte",_xlfn.XLOOKUP(tb_investimentos[[#This Row],[DESCRIÇÃO]],'INFO AÇÕES'!E:E,'INFO AÇÕES'!I:I),"BRL")</f>
        <v>BRL</v>
      </c>
      <c r="F229" s="75" t="s">
        <v>106</v>
      </c>
      <c r="G229" s="11">
        <v>1</v>
      </c>
      <c r="H229" s="12">
        <v>500</v>
      </c>
      <c r="I229" s="13" t="s">
        <v>107</v>
      </c>
      <c r="J229" s="51">
        <f t="shared" si="6"/>
        <v>500</v>
      </c>
      <c r="K229" s="13" t="s">
        <v>105</v>
      </c>
      <c r="L229">
        <f>MONTH(tb_investimentos[[#This Row],[DATA]])</f>
        <v>12</v>
      </c>
      <c r="M229">
        <f>YEAR(tb_investimentos[[#This Row],[DATA]])</f>
        <v>2027</v>
      </c>
      <c r="N229">
        <f>DAY(tb_investimentos[[#This Row],[DATA]])</f>
        <v>12</v>
      </c>
      <c r="O229">
        <f t="shared" si="7"/>
        <v>515.93333333333328</v>
      </c>
      <c r="P229">
        <f>tb_investimentos[[#This Row],[PREÇO MÉDIO PONDERADO]]*tb_investimentos[[#This Row],[QUANTIDADE]]</f>
        <v>515.93333333333328</v>
      </c>
      <c r="Q229" s="58" t="str">
        <f ca="1">IFERROR(_xlfn.XLOOKUP(tb_investimentos[[#This Row],[DESCRIÇÃO]],tb_acoes[Símbolo do ticker],tb_acoes[Preço]),"")</f>
        <v/>
      </c>
      <c r="R229" s="58" t="str">
        <f ca="1">IFERROR(tb_investimentos[[#This Row],[QUANTIDADE]]*tb_investimentos[[#This Row],[PREÇO MERCADO]],"")</f>
        <v/>
      </c>
      <c r="S229" s="58" t="str">
        <f ca="1">IFERROR(tb_investimentos[[#This Row],[VALOR TOTAL MERCADO]]-tb_investimentos[[#This Row],[VALOR TOTAL PONDERADO]],"")</f>
        <v/>
      </c>
      <c r="T229" s="58" t="str">
        <f ca="1">IFERROR(_xlfn.XLOOKUP(tb_investimentos[[#This Row],[DESCRIÇÃO]],'INFO AÇÕES'!E:E,'INFO AÇÕES'!H:H),"")</f>
        <v/>
      </c>
      <c r="U229" s="59" t="str">
        <f ca="1">IFERROR((tb_investimentos[[#This Row],[VALOR TOTAL MERCADO]]-tb_investimentos[[#This Row],[VALOR TOTAL PONDERADO]])/tb_investimentos[[#This Row],[VALOR TOTAL PONDERADO]],"")</f>
        <v/>
      </c>
    </row>
    <row r="230" spans="2:21" hidden="1" x14ac:dyDescent="0.2">
      <c r="B230" s="13" t="s">
        <v>77</v>
      </c>
      <c r="C230" s="10">
        <v>46733</v>
      </c>
      <c r="D230" s="9" t="s">
        <v>80</v>
      </c>
      <c r="E230" s="11" t="str">
        <f>IF(tb_investimentos[[#This Row],[TIPO MOVIMENTAÇÃO]]="Aporte",_xlfn.XLOOKUP(tb_investimentos[[#This Row],[DESCRIÇÃO]],'INFO AÇÕES'!E:E,'INFO AÇÕES'!I:I),"BRL")</f>
        <v>BRL</v>
      </c>
      <c r="F230" s="75" t="s">
        <v>99</v>
      </c>
      <c r="G230" s="11">
        <v>1</v>
      </c>
      <c r="H230" s="12">
        <v>25</v>
      </c>
      <c r="I230" s="13" t="s">
        <v>107</v>
      </c>
      <c r="J230" s="51">
        <f t="shared" si="6"/>
        <v>25</v>
      </c>
      <c r="K230" s="13" t="s">
        <v>105</v>
      </c>
      <c r="L230">
        <f>MONTH(tb_investimentos[[#This Row],[DATA]])</f>
        <v>12</v>
      </c>
      <c r="M230">
        <f>YEAR(tb_investimentos[[#This Row],[DATA]])</f>
        <v>2027</v>
      </c>
      <c r="N230">
        <f>DAY(tb_investimentos[[#This Row],[DATA]])</f>
        <v>12</v>
      </c>
      <c r="O230">
        <f t="shared" si="7"/>
        <v>25</v>
      </c>
      <c r="P230">
        <f>tb_investimentos[[#This Row],[PREÇO MÉDIO PONDERADO]]*tb_investimentos[[#This Row],[QUANTIDADE]]</f>
        <v>25</v>
      </c>
      <c r="Q230" s="58" t="str">
        <f ca="1">IFERROR(_xlfn.XLOOKUP(tb_investimentos[[#This Row],[DESCRIÇÃO]],tb_acoes[Símbolo do ticker],tb_acoes[Preço]),"")</f>
        <v/>
      </c>
      <c r="R230" s="58" t="str">
        <f ca="1">IFERROR(tb_investimentos[[#This Row],[QUANTIDADE]]*tb_investimentos[[#This Row],[PREÇO MERCADO]],"")</f>
        <v/>
      </c>
      <c r="S230" s="58" t="str">
        <f ca="1">IFERROR(tb_investimentos[[#This Row],[VALOR TOTAL MERCADO]]-tb_investimentos[[#This Row],[VALOR TOTAL PONDERADO]],"")</f>
        <v/>
      </c>
      <c r="T230" s="58" t="str">
        <f ca="1">IFERROR(_xlfn.XLOOKUP(tb_investimentos[[#This Row],[DESCRIÇÃO]],'INFO AÇÕES'!E:E,'INFO AÇÕES'!H:H),"")</f>
        <v/>
      </c>
      <c r="U230" s="59" t="str">
        <f ca="1">IFERROR((tb_investimentos[[#This Row],[VALOR TOTAL MERCADO]]-tb_investimentos[[#This Row],[VALOR TOTAL PONDERADO]])/tb_investimentos[[#This Row],[VALOR TOTAL PONDERADO]],"")</f>
        <v/>
      </c>
    </row>
    <row r="231" spans="2:21" hidden="1" x14ac:dyDescent="0.2">
      <c r="B231" s="13" t="s">
        <v>77</v>
      </c>
      <c r="C231" s="10">
        <v>46733</v>
      </c>
      <c r="D231" s="9" t="s">
        <v>89</v>
      </c>
      <c r="E231" s="11" t="str">
        <f>IF(tb_investimentos[[#This Row],[TIPO MOVIMENTAÇÃO]]="Aporte",_xlfn.XLOOKUP(tb_investimentos[[#This Row],[DESCRIÇÃO]],'INFO AÇÕES'!E:E,'INFO AÇÕES'!I:I),"BRL")</f>
        <v>BRL</v>
      </c>
      <c r="F231" s="75" t="s">
        <v>90</v>
      </c>
      <c r="G231" s="11">
        <v>1</v>
      </c>
      <c r="H231" s="12">
        <v>16.899999999999999</v>
      </c>
      <c r="I231" s="13" t="s">
        <v>107</v>
      </c>
      <c r="J231" s="51">
        <f t="shared" si="6"/>
        <v>16.899999999999999</v>
      </c>
      <c r="K231" s="13" t="s">
        <v>105</v>
      </c>
      <c r="L231">
        <f>MONTH(tb_investimentos[[#This Row],[DATA]])</f>
        <v>12</v>
      </c>
      <c r="M231">
        <f>YEAR(tb_investimentos[[#This Row],[DATA]])</f>
        <v>2027</v>
      </c>
      <c r="N231">
        <f>DAY(tb_investimentos[[#This Row],[DATA]])</f>
        <v>12</v>
      </c>
      <c r="O231">
        <f t="shared" si="7"/>
        <v>137.33453714285722</v>
      </c>
      <c r="P231">
        <f>tb_investimentos[[#This Row],[PREÇO MÉDIO PONDERADO]]*tb_investimentos[[#This Row],[QUANTIDADE]]</f>
        <v>137.33453714285722</v>
      </c>
      <c r="Q231" s="58" t="str">
        <f ca="1">IFERROR(_xlfn.XLOOKUP(tb_investimentos[[#This Row],[DESCRIÇÃO]],tb_acoes[Símbolo do ticker],tb_acoes[Preço]),"")</f>
        <v/>
      </c>
      <c r="R231" s="58" t="str">
        <f ca="1">IFERROR(tb_investimentos[[#This Row],[QUANTIDADE]]*tb_investimentos[[#This Row],[PREÇO MERCADO]],"")</f>
        <v/>
      </c>
      <c r="S231" s="58" t="str">
        <f ca="1">IFERROR(tb_investimentos[[#This Row],[VALOR TOTAL MERCADO]]-tb_investimentos[[#This Row],[VALOR TOTAL PONDERADO]],"")</f>
        <v/>
      </c>
      <c r="T231" s="58" t="str">
        <f ca="1">IFERROR(_xlfn.XLOOKUP(tb_investimentos[[#This Row],[DESCRIÇÃO]],'INFO AÇÕES'!E:E,'INFO AÇÕES'!H:H),"")</f>
        <v/>
      </c>
      <c r="U231" s="59" t="str">
        <f ca="1">IFERROR((tb_investimentos[[#This Row],[VALOR TOTAL MERCADO]]-tb_investimentos[[#This Row],[VALOR TOTAL PONDERADO]])/tb_investimentos[[#This Row],[VALOR TOTAL PONDERADO]],"")</f>
        <v/>
      </c>
    </row>
    <row r="232" spans="2:21" hidden="1" x14ac:dyDescent="0.2">
      <c r="B232" s="13" t="s">
        <v>77</v>
      </c>
      <c r="C232" s="10">
        <v>46733</v>
      </c>
      <c r="D232" s="9" t="s">
        <v>92</v>
      </c>
      <c r="E232" s="11" t="str">
        <f>IF(tb_investimentos[[#This Row],[TIPO MOVIMENTAÇÃO]]="Aporte",_xlfn.XLOOKUP(tb_investimentos[[#This Row],[DESCRIÇÃO]],'INFO AÇÕES'!E:E,'INFO AÇÕES'!I:I),"BRL")</f>
        <v>BRL</v>
      </c>
      <c r="F232" s="75" t="s">
        <v>93</v>
      </c>
      <c r="G232" s="11">
        <v>1</v>
      </c>
      <c r="H232" s="12">
        <v>205</v>
      </c>
      <c r="I232" s="13" t="s">
        <v>107</v>
      </c>
      <c r="J232" s="51">
        <f t="shared" si="6"/>
        <v>205</v>
      </c>
      <c r="K232" s="13" t="s">
        <v>105</v>
      </c>
      <c r="L232">
        <f>MONTH(tb_investimentos[[#This Row],[DATA]])</f>
        <v>12</v>
      </c>
      <c r="M232">
        <f>YEAR(tb_investimentos[[#This Row],[DATA]])</f>
        <v>2027</v>
      </c>
      <c r="N232">
        <f>DAY(tb_investimentos[[#This Row],[DATA]])</f>
        <v>12</v>
      </c>
      <c r="O232">
        <f t="shared" si="7"/>
        <v>205</v>
      </c>
      <c r="P232">
        <f>tb_investimentos[[#This Row],[PREÇO MÉDIO PONDERADO]]*tb_investimentos[[#This Row],[QUANTIDADE]]</f>
        <v>205</v>
      </c>
      <c r="Q232" s="58" t="str">
        <f ca="1">IFERROR(_xlfn.XLOOKUP(tb_investimentos[[#This Row],[DESCRIÇÃO]],tb_acoes[Símbolo do ticker],tb_acoes[Preço]),"")</f>
        <v/>
      </c>
      <c r="R232" s="58" t="str">
        <f ca="1">IFERROR(tb_investimentos[[#This Row],[QUANTIDADE]]*tb_investimentos[[#This Row],[PREÇO MERCADO]],"")</f>
        <v/>
      </c>
      <c r="S232" s="58" t="str">
        <f ca="1">IFERROR(tb_investimentos[[#This Row],[VALOR TOTAL MERCADO]]-tb_investimentos[[#This Row],[VALOR TOTAL PONDERADO]],"")</f>
        <v/>
      </c>
      <c r="T232" s="58" t="str">
        <f ca="1">IFERROR(_xlfn.XLOOKUP(tb_investimentos[[#This Row],[DESCRIÇÃO]],'INFO AÇÕES'!E:E,'INFO AÇÕES'!H:H),"")</f>
        <v/>
      </c>
      <c r="U232" s="59" t="str">
        <f ca="1">IFERROR((tb_investimentos[[#This Row],[VALOR TOTAL MERCADO]]-tb_investimentos[[#This Row],[VALOR TOTAL PONDERADO]])/tb_investimentos[[#This Row],[VALOR TOTAL PONDERADO]],"")</f>
        <v/>
      </c>
    </row>
    <row r="233" spans="2:21" hidden="1" x14ac:dyDescent="0.2">
      <c r="B233" s="13" t="s">
        <v>77</v>
      </c>
      <c r="C233" s="10">
        <v>46733</v>
      </c>
      <c r="D233" s="9" t="s">
        <v>107</v>
      </c>
      <c r="E233" s="11" t="str">
        <f>IF(tb_investimentos[[#This Row],[TIPO MOVIMENTAÇÃO]]="Aporte",_xlfn.XLOOKUP(tb_investimentos[[#This Row],[DESCRIÇÃO]],'INFO AÇÕES'!E:E,'INFO AÇÕES'!I:I),"BRL")</f>
        <v>BRL</v>
      </c>
      <c r="F233" s="75" t="s">
        <v>106</v>
      </c>
      <c r="G233" s="11">
        <v>1</v>
      </c>
      <c r="H233" s="12">
        <v>500</v>
      </c>
      <c r="I233" s="13" t="s">
        <v>107</v>
      </c>
      <c r="J233" s="51">
        <f t="shared" si="6"/>
        <v>500</v>
      </c>
      <c r="K233" s="13" t="s">
        <v>105</v>
      </c>
      <c r="L233">
        <f>MONTH(tb_investimentos[[#This Row],[DATA]])</f>
        <v>12</v>
      </c>
      <c r="M233">
        <f>YEAR(tb_investimentos[[#This Row],[DATA]])</f>
        <v>2027</v>
      </c>
      <c r="N233">
        <f>DAY(tb_investimentos[[#This Row],[DATA]])</f>
        <v>12</v>
      </c>
      <c r="O233">
        <f t="shared" si="7"/>
        <v>515.93333333333328</v>
      </c>
      <c r="P233">
        <f>tb_investimentos[[#This Row],[PREÇO MÉDIO PONDERADO]]*tb_investimentos[[#This Row],[QUANTIDADE]]</f>
        <v>515.93333333333328</v>
      </c>
      <c r="Q233" s="58" t="str">
        <f ca="1">IFERROR(_xlfn.XLOOKUP(tb_investimentos[[#This Row],[DESCRIÇÃO]],tb_acoes[Símbolo do ticker],tb_acoes[Preço]),"")</f>
        <v/>
      </c>
      <c r="R233" s="58" t="str">
        <f ca="1">IFERROR(tb_investimentos[[#This Row],[QUANTIDADE]]*tb_investimentos[[#This Row],[PREÇO MERCADO]],"")</f>
        <v/>
      </c>
      <c r="S233" s="58" t="str">
        <f ca="1">IFERROR(tb_investimentos[[#This Row],[VALOR TOTAL MERCADO]]-tb_investimentos[[#This Row],[VALOR TOTAL PONDERADO]],"")</f>
        <v/>
      </c>
      <c r="T233" s="58" t="str">
        <f ca="1">IFERROR(_xlfn.XLOOKUP(tb_investimentos[[#This Row],[DESCRIÇÃO]],'INFO AÇÕES'!E:E,'INFO AÇÕES'!H:H),"")</f>
        <v/>
      </c>
      <c r="U233" s="59" t="str">
        <f ca="1">IFERROR((tb_investimentos[[#This Row],[VALOR TOTAL MERCADO]]-tb_investimentos[[#This Row],[VALOR TOTAL PONDERADO]])/tb_investimentos[[#This Row],[VALOR TOTAL PONDERADO]],"")</f>
        <v/>
      </c>
    </row>
    <row r="234" spans="2:21" hidden="1" x14ac:dyDescent="0.2">
      <c r="B234" s="13" t="s">
        <v>77</v>
      </c>
      <c r="C234" s="72">
        <v>46736</v>
      </c>
      <c r="D234" s="9" t="s">
        <v>78</v>
      </c>
      <c r="E234" s="11" t="str">
        <f>IF(tb_investimentos[[#This Row],[TIPO MOVIMENTAÇÃO]]="Aporte",_xlfn.XLOOKUP(tb_investimentos[[#This Row],[DESCRIÇÃO]],'INFO AÇÕES'!E:E,'INFO AÇÕES'!I:I),"BRL")</f>
        <v>BRL</v>
      </c>
      <c r="F234" s="75" t="s">
        <v>102</v>
      </c>
      <c r="G234" s="11">
        <v>1</v>
      </c>
      <c r="H234" s="12">
        <v>39.9</v>
      </c>
      <c r="I234" s="13" t="s">
        <v>107</v>
      </c>
      <c r="J234" s="51">
        <f t="shared" si="6"/>
        <v>39.9</v>
      </c>
      <c r="K234" s="13" t="s">
        <v>105</v>
      </c>
      <c r="L234">
        <f>MONTH(tb_investimentos[[#This Row],[DATA]])</f>
        <v>12</v>
      </c>
      <c r="M234">
        <f>YEAR(tb_investimentos[[#This Row],[DATA]])</f>
        <v>2027</v>
      </c>
      <c r="N234">
        <f>DAY(tb_investimentos[[#This Row],[DATA]])</f>
        <v>15</v>
      </c>
      <c r="O234">
        <f t="shared" si="7"/>
        <v>59.90000000000002</v>
      </c>
      <c r="P234">
        <f>tb_investimentos[[#This Row],[PREÇO MÉDIO PONDERADO]]*tb_investimentos[[#This Row],[QUANTIDADE]]</f>
        <v>59.90000000000002</v>
      </c>
      <c r="Q234" s="58" t="str">
        <f ca="1">IFERROR(_xlfn.XLOOKUP(tb_investimentos[[#This Row],[DESCRIÇÃO]],tb_acoes[Símbolo do ticker],tb_acoes[Preço]),"")</f>
        <v/>
      </c>
      <c r="R234" s="58" t="str">
        <f ca="1">IFERROR(tb_investimentos[[#This Row],[QUANTIDADE]]*tb_investimentos[[#This Row],[PREÇO MERCADO]],"")</f>
        <v/>
      </c>
      <c r="S234" s="58" t="str">
        <f ca="1">IFERROR(tb_investimentos[[#This Row],[VALOR TOTAL MERCADO]]-tb_investimentos[[#This Row],[VALOR TOTAL PONDERADO]],"")</f>
        <v/>
      </c>
      <c r="T234" s="58" t="str">
        <f ca="1">IFERROR(_xlfn.XLOOKUP(tb_investimentos[[#This Row],[DESCRIÇÃO]],'INFO AÇÕES'!E:E,'INFO AÇÕES'!H:H),"")</f>
        <v/>
      </c>
      <c r="U234" s="59" t="str">
        <f ca="1">IFERROR((tb_investimentos[[#This Row],[VALOR TOTAL MERCADO]]-tb_investimentos[[#This Row],[VALOR TOTAL PONDERADO]])/tb_investimentos[[#This Row],[VALOR TOTAL PONDERADO]],"")</f>
        <v/>
      </c>
    </row>
    <row r="235" spans="2:21" hidden="1" x14ac:dyDescent="0.2">
      <c r="B235" s="13" t="s">
        <v>77</v>
      </c>
      <c r="C235" s="72">
        <v>46736</v>
      </c>
      <c r="D235" s="9" t="s">
        <v>78</v>
      </c>
      <c r="E235" s="11" t="str">
        <f>IF(tb_investimentos[[#This Row],[TIPO MOVIMENTAÇÃO]]="Aporte",_xlfn.XLOOKUP(tb_investimentos[[#This Row],[DESCRIÇÃO]],'INFO AÇÕES'!E:E,'INFO AÇÕES'!I:I),"BRL")</f>
        <v>BRL</v>
      </c>
      <c r="F235" s="75" t="s">
        <v>101</v>
      </c>
      <c r="G235" s="11">
        <v>1</v>
      </c>
      <c r="H235" s="12">
        <v>79.900000000000006</v>
      </c>
      <c r="I235" s="13" t="s">
        <v>107</v>
      </c>
      <c r="J235" s="51">
        <f t="shared" si="6"/>
        <v>79.900000000000006</v>
      </c>
      <c r="K235" s="13" t="s">
        <v>105</v>
      </c>
      <c r="L235">
        <f>MONTH(tb_investimentos[[#This Row],[DATA]])</f>
        <v>12</v>
      </c>
      <c r="M235">
        <f>YEAR(tb_investimentos[[#This Row],[DATA]])</f>
        <v>2027</v>
      </c>
      <c r="N235">
        <f>DAY(tb_investimentos[[#This Row],[DATA]])</f>
        <v>15</v>
      </c>
      <c r="O235">
        <f t="shared" si="7"/>
        <v>59.90000000000002</v>
      </c>
      <c r="P235">
        <f>tb_investimentos[[#This Row],[PREÇO MÉDIO PONDERADO]]*tb_investimentos[[#This Row],[QUANTIDADE]]</f>
        <v>59.90000000000002</v>
      </c>
      <c r="Q235" s="58" t="str">
        <f ca="1">IFERROR(_xlfn.XLOOKUP(tb_investimentos[[#This Row],[DESCRIÇÃO]],tb_acoes[Símbolo do ticker],tb_acoes[Preço]),"")</f>
        <v/>
      </c>
      <c r="R235" s="58" t="str">
        <f ca="1">IFERROR(tb_investimentos[[#This Row],[QUANTIDADE]]*tb_investimentos[[#This Row],[PREÇO MERCADO]],"")</f>
        <v/>
      </c>
      <c r="S235" s="58" t="str">
        <f ca="1">IFERROR(tb_investimentos[[#This Row],[VALOR TOTAL MERCADO]]-tb_investimentos[[#This Row],[VALOR TOTAL PONDERADO]],"")</f>
        <v/>
      </c>
      <c r="T235" s="58" t="str">
        <f ca="1">IFERROR(_xlfn.XLOOKUP(tb_investimentos[[#This Row],[DESCRIÇÃO]],'INFO AÇÕES'!E:E,'INFO AÇÕES'!H:H),"")</f>
        <v/>
      </c>
      <c r="U235" s="59" t="str">
        <f ca="1">IFERROR((tb_investimentos[[#This Row],[VALOR TOTAL MERCADO]]-tb_investimentos[[#This Row],[VALOR TOTAL PONDERADO]])/tb_investimentos[[#This Row],[VALOR TOTAL PONDERADO]],"")</f>
        <v/>
      </c>
    </row>
    <row r="236" spans="2:21" hidden="1" x14ac:dyDescent="0.2">
      <c r="B236" s="13" t="s">
        <v>77</v>
      </c>
      <c r="C236" s="72">
        <v>46736</v>
      </c>
      <c r="D236" s="9" t="s">
        <v>79</v>
      </c>
      <c r="E236" s="11" t="str">
        <f>IF(tb_investimentos[[#This Row],[TIPO MOVIMENTAÇÃO]]="Aporte",_xlfn.XLOOKUP(tb_investimentos[[#This Row],[DESCRIÇÃO]],'INFO AÇÕES'!E:E,'INFO AÇÕES'!I:I),"BRL")</f>
        <v>BRL</v>
      </c>
      <c r="F236" s="75" t="s">
        <v>100</v>
      </c>
      <c r="G236" s="11">
        <v>1</v>
      </c>
      <c r="H236" s="12">
        <v>110</v>
      </c>
      <c r="I236" s="13" t="s">
        <v>107</v>
      </c>
      <c r="J236" s="51">
        <f t="shared" si="6"/>
        <v>110</v>
      </c>
      <c r="K236" s="13" t="s">
        <v>105</v>
      </c>
      <c r="L236">
        <f>MONTH(tb_investimentos[[#This Row],[DATA]])</f>
        <v>12</v>
      </c>
      <c r="M236">
        <f>YEAR(tb_investimentos[[#This Row],[DATA]])</f>
        <v>2027</v>
      </c>
      <c r="N236">
        <f>DAY(tb_investimentos[[#This Row],[DATA]])</f>
        <v>15</v>
      </c>
      <c r="O236">
        <f t="shared" si="7"/>
        <v>110</v>
      </c>
      <c r="P236">
        <f>tb_investimentos[[#This Row],[PREÇO MÉDIO PONDERADO]]*tb_investimentos[[#This Row],[QUANTIDADE]]</f>
        <v>110</v>
      </c>
      <c r="Q236" s="58" t="str">
        <f ca="1">IFERROR(_xlfn.XLOOKUP(tb_investimentos[[#This Row],[DESCRIÇÃO]],tb_acoes[Símbolo do ticker],tb_acoes[Preço]),"")</f>
        <v/>
      </c>
      <c r="R236" s="58" t="str">
        <f ca="1">IFERROR(tb_investimentos[[#This Row],[QUANTIDADE]]*tb_investimentos[[#This Row],[PREÇO MERCADO]],"")</f>
        <v/>
      </c>
      <c r="S236" s="58" t="str">
        <f ca="1">IFERROR(tb_investimentos[[#This Row],[VALOR TOTAL MERCADO]]-tb_investimentos[[#This Row],[VALOR TOTAL PONDERADO]],"")</f>
        <v/>
      </c>
      <c r="T236" s="58" t="str">
        <f ca="1">IFERROR(_xlfn.XLOOKUP(tb_investimentos[[#This Row],[DESCRIÇÃO]],'INFO AÇÕES'!E:E,'INFO AÇÕES'!H:H),"")</f>
        <v/>
      </c>
      <c r="U236" s="59" t="str">
        <f ca="1">IFERROR((tb_investimentos[[#This Row],[VALOR TOTAL MERCADO]]-tb_investimentos[[#This Row],[VALOR TOTAL PONDERADO]])/tb_investimentos[[#This Row],[VALOR TOTAL PONDERADO]],"")</f>
        <v/>
      </c>
    </row>
    <row r="237" spans="2:21" hidden="1" x14ac:dyDescent="0.2">
      <c r="B237" s="13" t="s">
        <v>77</v>
      </c>
      <c r="C237" s="10">
        <v>46736</v>
      </c>
      <c r="D237" s="9" t="s">
        <v>88</v>
      </c>
      <c r="E237" s="11" t="str">
        <f>IF(tb_investimentos[[#This Row],[TIPO MOVIMENTAÇÃO]]="Aporte",_xlfn.XLOOKUP(tb_investimentos[[#This Row],[DESCRIÇÃO]],'INFO AÇÕES'!E:E,'INFO AÇÕES'!I:I),"BRL")</f>
        <v>BRL</v>
      </c>
      <c r="F237" s="75" t="s">
        <v>91</v>
      </c>
      <c r="G237" s="11">
        <v>1</v>
      </c>
      <c r="H237" s="83">
        <v>1564.7505600000002</v>
      </c>
      <c r="I237" s="13" t="s">
        <v>107</v>
      </c>
      <c r="J237" s="51">
        <f t="shared" si="6"/>
        <v>1564.7505600000002</v>
      </c>
      <c r="K237" s="13" t="s">
        <v>105</v>
      </c>
      <c r="L237">
        <f>MONTH(tb_investimentos[[#This Row],[DATA]])</f>
        <v>12</v>
      </c>
      <c r="M237">
        <f>YEAR(tb_investimentos[[#This Row],[DATA]])</f>
        <v>2027</v>
      </c>
      <c r="N237">
        <f>DAY(tb_investimentos[[#This Row],[DATA]])</f>
        <v>15</v>
      </c>
      <c r="O237">
        <f t="shared" si="7"/>
        <v>1629.9930261538464</v>
      </c>
      <c r="P237">
        <f>tb_investimentos[[#This Row],[PREÇO MÉDIO PONDERADO]]*tb_investimentos[[#This Row],[QUANTIDADE]]</f>
        <v>1629.9930261538464</v>
      </c>
      <c r="Q237" s="58" t="str">
        <f ca="1">IFERROR(_xlfn.XLOOKUP(tb_investimentos[[#This Row],[DESCRIÇÃO]],tb_acoes[Símbolo do ticker],tb_acoes[Preço]),"")</f>
        <v/>
      </c>
      <c r="R237" s="58" t="str">
        <f ca="1">IFERROR(tb_investimentos[[#This Row],[QUANTIDADE]]*tb_investimentos[[#This Row],[PREÇO MERCADO]],"")</f>
        <v/>
      </c>
      <c r="S237" s="58" t="str">
        <f ca="1">IFERROR(tb_investimentos[[#This Row],[VALOR TOTAL MERCADO]]-tb_investimentos[[#This Row],[VALOR TOTAL PONDERADO]],"")</f>
        <v/>
      </c>
      <c r="T237" s="58" t="str">
        <f ca="1">IFERROR(_xlfn.XLOOKUP(tb_investimentos[[#This Row],[DESCRIÇÃO]],'INFO AÇÕES'!E:E,'INFO AÇÕES'!H:H),"")</f>
        <v/>
      </c>
      <c r="U237" s="59" t="str">
        <f ca="1">IFERROR((tb_investimentos[[#This Row],[VALOR TOTAL MERCADO]]-tb_investimentos[[#This Row],[VALOR TOTAL PONDERADO]])/tb_investimentos[[#This Row],[VALOR TOTAL PONDERADO]],"")</f>
        <v/>
      </c>
    </row>
    <row r="238" spans="2:21" hidden="1" x14ac:dyDescent="0.2">
      <c r="B238" s="13" t="s">
        <v>77</v>
      </c>
      <c r="C238" s="10">
        <v>46741</v>
      </c>
      <c r="D238" s="9" t="s">
        <v>94</v>
      </c>
      <c r="E238" s="11" t="str">
        <f>IF(tb_investimentos[[#This Row],[TIPO MOVIMENTAÇÃO]]="Aporte",_xlfn.XLOOKUP(tb_investimentos[[#This Row],[DESCRIÇÃO]],'INFO AÇÕES'!E:E,'INFO AÇÕES'!I:I),"BRL")</f>
        <v>BRL</v>
      </c>
      <c r="F238" s="75" t="s">
        <v>95</v>
      </c>
      <c r="G238" s="11">
        <v>1</v>
      </c>
      <c r="H238" s="12">
        <v>95</v>
      </c>
      <c r="I238" s="13" t="s">
        <v>107</v>
      </c>
      <c r="J238" s="51">
        <f t="shared" si="6"/>
        <v>95</v>
      </c>
      <c r="K238" s="13" t="s">
        <v>105</v>
      </c>
      <c r="L238">
        <f>MONTH(tb_investimentos[[#This Row],[DATA]])</f>
        <v>12</v>
      </c>
      <c r="M238">
        <f>YEAR(tb_investimentos[[#This Row],[DATA]])</f>
        <v>2027</v>
      </c>
      <c r="N238">
        <f>DAY(tb_investimentos[[#This Row],[DATA]])</f>
        <v>20</v>
      </c>
      <c r="O238">
        <f t="shared" si="7"/>
        <v>93.857142857142861</v>
      </c>
      <c r="P238">
        <f>tb_investimentos[[#This Row],[PREÇO MÉDIO PONDERADO]]*tb_investimentos[[#This Row],[QUANTIDADE]]</f>
        <v>93.857142857142861</v>
      </c>
      <c r="Q238" s="58" t="str">
        <f ca="1">IFERROR(_xlfn.XLOOKUP(tb_investimentos[[#This Row],[DESCRIÇÃO]],tb_acoes[Símbolo do ticker],tb_acoes[Preço]),"")</f>
        <v/>
      </c>
      <c r="R238" s="58" t="str">
        <f ca="1">IFERROR(tb_investimentos[[#This Row],[QUANTIDADE]]*tb_investimentos[[#This Row],[PREÇO MERCADO]],"")</f>
        <v/>
      </c>
      <c r="S238" s="58" t="str">
        <f ca="1">IFERROR(tb_investimentos[[#This Row],[VALOR TOTAL MERCADO]]-tb_investimentos[[#This Row],[VALOR TOTAL PONDERADO]],"")</f>
        <v/>
      </c>
      <c r="T238" s="58" t="str">
        <f ca="1">IFERROR(_xlfn.XLOOKUP(tb_investimentos[[#This Row],[DESCRIÇÃO]],'INFO AÇÕES'!E:E,'INFO AÇÕES'!H:H),"")</f>
        <v/>
      </c>
      <c r="U238" s="59" t="str">
        <f ca="1">IFERROR((tb_investimentos[[#This Row],[VALOR TOTAL MERCADO]]-tb_investimentos[[#This Row],[VALOR TOTAL PONDERADO]])/tb_investimentos[[#This Row],[VALOR TOTAL PONDERADO]],"")</f>
        <v/>
      </c>
    </row>
    <row r="239" spans="2:21" hidden="1" x14ac:dyDescent="0.2">
      <c r="B239" s="13" t="s">
        <v>77</v>
      </c>
      <c r="C239" s="10">
        <v>46745</v>
      </c>
      <c r="D239" s="9" t="s">
        <v>84</v>
      </c>
      <c r="E239" s="11" t="str">
        <f>IF(tb_investimentos[[#This Row],[TIPO MOVIMENTAÇÃO]]="Aporte",_xlfn.XLOOKUP(tb_investimentos[[#This Row],[DESCRIÇÃO]],'INFO AÇÕES'!E:E,'INFO AÇÕES'!I:I),"BRL")</f>
        <v>BRL</v>
      </c>
      <c r="F239" s="75" t="s">
        <v>83</v>
      </c>
      <c r="G239" s="11">
        <v>1</v>
      </c>
      <c r="H239" s="12">
        <v>650</v>
      </c>
      <c r="I239" s="13" t="s">
        <v>107</v>
      </c>
      <c r="J239" s="51">
        <f t="shared" si="6"/>
        <v>650</v>
      </c>
      <c r="K239" s="13" t="s">
        <v>105</v>
      </c>
      <c r="L239">
        <f>MONTH(tb_investimentos[[#This Row],[DATA]])</f>
        <v>12</v>
      </c>
      <c r="M239">
        <f>YEAR(tb_investimentos[[#This Row],[DATA]])</f>
        <v>2027</v>
      </c>
      <c r="N239">
        <f>DAY(tb_investimentos[[#This Row],[DATA]])</f>
        <v>24</v>
      </c>
      <c r="O239">
        <f t="shared" si="7"/>
        <v>650</v>
      </c>
      <c r="P239">
        <f>tb_investimentos[[#This Row],[PREÇO MÉDIO PONDERADO]]*tb_investimentos[[#This Row],[QUANTIDADE]]</f>
        <v>650</v>
      </c>
      <c r="Q239" s="58" t="str">
        <f ca="1">IFERROR(_xlfn.XLOOKUP(tb_investimentos[[#This Row],[DESCRIÇÃO]],tb_acoes[Símbolo do ticker],tb_acoes[Preço]),"")</f>
        <v/>
      </c>
      <c r="R239" s="58" t="str">
        <f ca="1">IFERROR(tb_investimentos[[#This Row],[QUANTIDADE]]*tb_investimentos[[#This Row],[PREÇO MERCADO]],"")</f>
        <v/>
      </c>
      <c r="S239" s="58" t="str">
        <f ca="1">IFERROR(tb_investimentos[[#This Row],[VALOR TOTAL MERCADO]]-tb_investimentos[[#This Row],[VALOR TOTAL PONDERADO]],"")</f>
        <v/>
      </c>
      <c r="T239" s="58" t="str">
        <f ca="1">IFERROR(_xlfn.XLOOKUP(tb_investimentos[[#This Row],[DESCRIÇÃO]],'INFO AÇÕES'!E:E,'INFO AÇÕES'!H:H),"")</f>
        <v/>
      </c>
      <c r="U239" s="59" t="str">
        <f ca="1">IFERROR((tb_investimentos[[#This Row],[VALOR TOTAL MERCADO]]-tb_investimentos[[#This Row],[VALOR TOTAL PONDERADO]])/tb_investimentos[[#This Row],[VALOR TOTAL PONDERADO]],"")</f>
        <v/>
      </c>
    </row>
    <row r="240" spans="2:21" hidden="1" x14ac:dyDescent="0.2">
      <c r="B240" s="13" t="s">
        <v>77</v>
      </c>
      <c r="C240" s="10">
        <v>46749</v>
      </c>
      <c r="D240" s="9" t="s">
        <v>82</v>
      </c>
      <c r="E240" s="11" t="str">
        <f>IF(tb_investimentos[[#This Row],[TIPO MOVIMENTAÇÃO]]="Aporte",_xlfn.XLOOKUP(tb_investimentos[[#This Row],[DESCRIÇÃO]],'INFO AÇÕES'!E:E,'INFO AÇÕES'!I:I),"BRL")</f>
        <v>BRL</v>
      </c>
      <c r="F240" s="75" t="s">
        <v>81</v>
      </c>
      <c r="G240" s="11">
        <v>1</v>
      </c>
      <c r="H240" s="12">
        <v>650</v>
      </c>
      <c r="I240" s="13" t="s">
        <v>107</v>
      </c>
      <c r="J240" s="51">
        <f t="shared" si="6"/>
        <v>650</v>
      </c>
      <c r="K240" s="13" t="s">
        <v>105</v>
      </c>
      <c r="L240">
        <f>MONTH(tb_investimentos[[#This Row],[DATA]])</f>
        <v>12</v>
      </c>
      <c r="M240">
        <f>YEAR(tb_investimentos[[#This Row],[DATA]])</f>
        <v>2027</v>
      </c>
      <c r="N240">
        <f>DAY(tb_investimentos[[#This Row],[DATA]])</f>
        <v>28</v>
      </c>
      <c r="O240">
        <f t="shared" si="7"/>
        <v>650</v>
      </c>
      <c r="P240">
        <f>tb_investimentos[[#This Row],[PREÇO MÉDIO PONDERADO]]*tb_investimentos[[#This Row],[QUANTIDADE]]</f>
        <v>650</v>
      </c>
      <c r="Q240" s="58" t="str">
        <f ca="1">IFERROR(_xlfn.XLOOKUP(tb_investimentos[[#This Row],[DESCRIÇÃO]],tb_acoes[Símbolo do ticker],tb_acoes[Preço]),"")</f>
        <v/>
      </c>
      <c r="R240" s="58" t="str">
        <f ca="1">IFERROR(tb_investimentos[[#This Row],[QUANTIDADE]]*tb_investimentos[[#This Row],[PREÇO MERCADO]],"")</f>
        <v/>
      </c>
      <c r="S240" s="58" t="str">
        <f ca="1">IFERROR(tb_investimentos[[#This Row],[VALOR TOTAL MERCADO]]-tb_investimentos[[#This Row],[VALOR TOTAL PONDERADO]],"")</f>
        <v/>
      </c>
      <c r="T240" s="58" t="str">
        <f ca="1">IFERROR(_xlfn.XLOOKUP(tb_investimentos[[#This Row],[DESCRIÇÃO]],'INFO AÇÕES'!E:E,'INFO AÇÕES'!H:H),"")</f>
        <v/>
      </c>
      <c r="U240" s="59" t="str">
        <f ca="1">IFERROR((tb_investimentos[[#This Row],[VALOR TOTAL MERCADO]]-tb_investimentos[[#This Row],[VALOR TOTAL PONDERADO]])/tb_investimentos[[#This Row],[VALOR TOTAL PONDERADO]],"")</f>
        <v/>
      </c>
    </row>
    <row r="241" spans="2:21" hidden="1" x14ac:dyDescent="0.2">
      <c r="B241" s="13" t="s">
        <v>72</v>
      </c>
      <c r="C241" s="72">
        <v>46757</v>
      </c>
      <c r="D241" s="9" t="s">
        <v>76</v>
      </c>
      <c r="E241" s="11" t="str">
        <f>IF(tb_investimentos[[#This Row],[TIPO MOVIMENTAÇÃO]]="Aporte",_xlfn.XLOOKUP(tb_investimentos[[#This Row],[DESCRIÇÃO]],'INFO AÇÕES'!E:E,'INFO AÇÕES'!I:I),"BRL")</f>
        <v>BRL</v>
      </c>
      <c r="F241" s="75" t="s">
        <v>73</v>
      </c>
      <c r="G241" s="11">
        <v>1</v>
      </c>
      <c r="H241" s="12">
        <v>8000</v>
      </c>
      <c r="I241" s="13" t="s">
        <v>107</v>
      </c>
      <c r="J241" s="51">
        <f t="shared" si="6"/>
        <v>8000</v>
      </c>
      <c r="K241" s="13" t="s">
        <v>105</v>
      </c>
      <c r="L241">
        <f>MONTH(tb_investimentos[[#This Row],[DATA]])</f>
        <v>1</v>
      </c>
      <c r="M241">
        <f>YEAR(tb_investimentos[[#This Row],[DATA]])</f>
        <v>2028</v>
      </c>
      <c r="N241">
        <f>DAY(tb_investimentos[[#This Row],[DATA]])</f>
        <v>5</v>
      </c>
      <c r="O241">
        <f t="shared" si="7"/>
        <v>7801.7948717948721</v>
      </c>
      <c r="P241">
        <f>tb_investimentos[[#This Row],[PREÇO MÉDIO PONDERADO]]*tb_investimentos[[#This Row],[QUANTIDADE]]</f>
        <v>7801.7948717948721</v>
      </c>
      <c r="Q241" s="58" t="str">
        <f ca="1">IFERROR(_xlfn.XLOOKUP(tb_investimentos[[#This Row],[DESCRIÇÃO]],tb_acoes[Símbolo do ticker],tb_acoes[Preço]),"")</f>
        <v/>
      </c>
      <c r="R241" s="58" t="str">
        <f ca="1">IFERROR(tb_investimentos[[#This Row],[QUANTIDADE]]*tb_investimentos[[#This Row],[PREÇO MERCADO]],"")</f>
        <v/>
      </c>
      <c r="S241" s="58" t="str">
        <f ca="1">IFERROR(tb_investimentos[[#This Row],[VALOR TOTAL MERCADO]]-tb_investimentos[[#This Row],[VALOR TOTAL PONDERADO]],"")</f>
        <v/>
      </c>
      <c r="T241" s="58" t="str">
        <f ca="1">IFERROR(_xlfn.XLOOKUP(tb_investimentos[[#This Row],[DESCRIÇÃO]],'INFO AÇÕES'!E:E,'INFO AÇÕES'!H:H),"")</f>
        <v/>
      </c>
      <c r="U241" s="59" t="str">
        <f ca="1">IFERROR((tb_investimentos[[#This Row],[VALOR TOTAL MERCADO]]-tb_investimentos[[#This Row],[VALOR TOTAL PONDERADO]])/tb_investimentos[[#This Row],[VALOR TOTAL PONDERADO]],"")</f>
        <v/>
      </c>
    </row>
    <row r="242" spans="2:21" hidden="1" x14ac:dyDescent="0.2">
      <c r="B242" s="13" t="s">
        <v>39</v>
      </c>
      <c r="C242" s="10">
        <v>46757</v>
      </c>
      <c r="D242" s="9"/>
      <c r="E242" s="11">
        <f ca="1">IF(tb_investimentos[[#This Row],[TIPO MOVIMENTAÇÃO]]="Aporte",_xlfn.XLOOKUP(tb_investimentos[[#This Row],[DESCRIÇÃO]],'INFO AÇÕES'!E:E,'INFO AÇÕES'!I:I),"BRL")</f>
        <v>0</v>
      </c>
      <c r="F242" s="73" t="s">
        <v>10</v>
      </c>
      <c r="G242" s="11">
        <v>1</v>
      </c>
      <c r="H242" s="12">
        <v>4000</v>
      </c>
      <c r="I242" s="13" t="s">
        <v>58</v>
      </c>
      <c r="J242" s="51">
        <f t="shared" si="6"/>
        <v>4000</v>
      </c>
      <c r="K242" s="11" t="s">
        <v>105</v>
      </c>
      <c r="L242">
        <f>MONTH(tb_investimentos[[#This Row],[DATA]])</f>
        <v>1</v>
      </c>
      <c r="M242">
        <f>YEAR(tb_investimentos[[#This Row],[DATA]])</f>
        <v>2028</v>
      </c>
      <c r="N242">
        <f>DAY(tb_investimentos[[#This Row],[DATA]])</f>
        <v>5</v>
      </c>
      <c r="O242" t="e">
        <f t="shared" si="7"/>
        <v>#DIV/0!</v>
      </c>
      <c r="P242" t="e">
        <f>tb_investimentos[[#This Row],[PREÇO MÉDIO PONDERADO]]*tb_investimentos[[#This Row],[QUANTIDADE]]</f>
        <v>#DIV/0!</v>
      </c>
      <c r="Q242" s="58" t="str">
        <f ca="1">IFERROR(_xlfn.XLOOKUP(tb_investimentos[[#This Row],[DESCRIÇÃO]],tb_acoes[Símbolo do ticker],tb_acoes[Preço]),"")</f>
        <v/>
      </c>
      <c r="R242" s="58" t="str">
        <f ca="1">IFERROR(tb_investimentos[[#This Row],[QUANTIDADE]]*tb_investimentos[[#This Row],[PREÇO MERCADO]],"")</f>
        <v/>
      </c>
      <c r="S242" s="58" t="str">
        <f ca="1">IFERROR(tb_investimentos[[#This Row],[VALOR TOTAL MERCADO]]-tb_investimentos[[#This Row],[VALOR TOTAL PONDERADO]],"")</f>
        <v/>
      </c>
      <c r="T242" s="58" t="str">
        <f ca="1">IFERROR(_xlfn.XLOOKUP(tb_investimentos[[#This Row],[DESCRIÇÃO]],'INFO AÇÕES'!E:E,'INFO AÇÕES'!H:H),"")</f>
        <v/>
      </c>
      <c r="U242" s="59" t="str">
        <f ca="1">IFERROR((tb_investimentos[[#This Row],[VALOR TOTAL MERCADO]]-tb_investimentos[[#This Row],[VALOR TOTAL PONDERADO]])/tb_investimentos[[#This Row],[VALOR TOTAL PONDERADO]],"")</f>
        <v/>
      </c>
    </row>
    <row r="243" spans="2:21" hidden="1" x14ac:dyDescent="0.2">
      <c r="B243" s="13" t="s">
        <v>77</v>
      </c>
      <c r="C243" s="10">
        <v>46767</v>
      </c>
      <c r="D243" s="9" t="s">
        <v>88</v>
      </c>
      <c r="E243" s="11" t="str">
        <f>IF(tb_investimentos[[#This Row],[TIPO MOVIMENTAÇÃO]]="Aporte",_xlfn.XLOOKUP(tb_investimentos[[#This Row],[DESCRIÇÃO]],'INFO AÇÕES'!E:E,'INFO AÇÕES'!I:I),"BRL")</f>
        <v>BRL</v>
      </c>
      <c r="F243" s="75" t="s">
        <v>91</v>
      </c>
      <c r="G243" s="11">
        <v>1</v>
      </c>
      <c r="H243" s="12">
        <v>1615.1521</v>
      </c>
      <c r="I243" s="13" t="s">
        <v>107</v>
      </c>
      <c r="J243" s="51">
        <f t="shared" si="6"/>
        <v>1615.1521</v>
      </c>
      <c r="K243" s="13" t="s">
        <v>105</v>
      </c>
      <c r="L243">
        <f>MONTH(tb_investimentos[[#This Row],[DATA]])</f>
        <v>1</v>
      </c>
      <c r="M243">
        <f>YEAR(tb_investimentos[[#This Row],[DATA]])</f>
        <v>2028</v>
      </c>
      <c r="N243">
        <f>DAY(tb_investimentos[[#This Row],[DATA]])</f>
        <v>15</v>
      </c>
      <c r="O243">
        <f t="shared" si="7"/>
        <v>1629.9930261538464</v>
      </c>
      <c r="P243">
        <f>tb_investimentos[[#This Row],[PREÇO MÉDIO PONDERADO]]*tb_investimentos[[#This Row],[QUANTIDADE]]</f>
        <v>1629.9930261538464</v>
      </c>
      <c r="Q243" s="58" t="str">
        <f ca="1">IFERROR(_xlfn.XLOOKUP(tb_investimentos[[#This Row],[DESCRIÇÃO]],tb_acoes[Símbolo do ticker],tb_acoes[Preço]),"")</f>
        <v/>
      </c>
      <c r="R243" s="58" t="str">
        <f ca="1">IFERROR(tb_investimentos[[#This Row],[QUANTIDADE]]*tb_investimentos[[#This Row],[PREÇO MERCADO]],"")</f>
        <v/>
      </c>
      <c r="S243" s="58" t="str">
        <f ca="1">IFERROR(tb_investimentos[[#This Row],[VALOR TOTAL MERCADO]]-tb_investimentos[[#This Row],[VALOR TOTAL PONDERADO]],"")</f>
        <v/>
      </c>
      <c r="T243" s="58" t="str">
        <f ca="1">IFERROR(_xlfn.XLOOKUP(tb_investimentos[[#This Row],[DESCRIÇÃO]],'INFO AÇÕES'!E:E,'INFO AÇÕES'!H:H),"")</f>
        <v/>
      </c>
      <c r="U243" s="59" t="str">
        <f ca="1">IFERROR((tb_investimentos[[#This Row],[VALOR TOTAL MERCADO]]-tb_investimentos[[#This Row],[VALOR TOTAL PONDERADO]])/tb_investimentos[[#This Row],[VALOR TOTAL PONDERADO]],"")</f>
        <v/>
      </c>
    </row>
    <row r="244" spans="2:21" hidden="1" x14ac:dyDescent="0.2">
      <c r="B244" s="13" t="s">
        <v>77</v>
      </c>
      <c r="C244" s="72">
        <v>46767</v>
      </c>
      <c r="D244" s="9" t="s">
        <v>78</v>
      </c>
      <c r="E244" s="11" t="str">
        <f>IF(tb_investimentos[[#This Row],[TIPO MOVIMENTAÇÃO]]="Aporte",_xlfn.XLOOKUP(tb_investimentos[[#This Row],[DESCRIÇÃO]],'INFO AÇÕES'!E:E,'INFO AÇÕES'!I:I),"BRL")</f>
        <v>BRL</v>
      </c>
      <c r="F244" s="75" t="s">
        <v>102</v>
      </c>
      <c r="G244" s="11">
        <v>1</v>
      </c>
      <c r="H244" s="12">
        <v>39.9</v>
      </c>
      <c r="I244" s="13" t="s">
        <v>107</v>
      </c>
      <c r="J244" s="51">
        <f t="shared" si="6"/>
        <v>39.9</v>
      </c>
      <c r="K244" s="13" t="s">
        <v>105</v>
      </c>
      <c r="L244">
        <f>MONTH(tb_investimentos[[#This Row],[DATA]])</f>
        <v>1</v>
      </c>
      <c r="M244">
        <f>YEAR(tb_investimentos[[#This Row],[DATA]])</f>
        <v>2028</v>
      </c>
      <c r="N244">
        <f>DAY(tb_investimentos[[#This Row],[DATA]])</f>
        <v>15</v>
      </c>
      <c r="O244">
        <f t="shared" si="7"/>
        <v>59.90000000000002</v>
      </c>
      <c r="P244">
        <f>tb_investimentos[[#This Row],[PREÇO MÉDIO PONDERADO]]*tb_investimentos[[#This Row],[QUANTIDADE]]</f>
        <v>59.90000000000002</v>
      </c>
      <c r="Q244" s="58" t="str">
        <f ca="1">IFERROR(_xlfn.XLOOKUP(tb_investimentos[[#This Row],[DESCRIÇÃO]],tb_acoes[Símbolo do ticker],tb_acoes[Preço]),"")</f>
        <v/>
      </c>
      <c r="R244" s="58" t="str">
        <f ca="1">IFERROR(tb_investimentos[[#This Row],[QUANTIDADE]]*tb_investimentos[[#This Row],[PREÇO MERCADO]],"")</f>
        <v/>
      </c>
      <c r="S244" s="58" t="str">
        <f ca="1">IFERROR(tb_investimentos[[#This Row],[VALOR TOTAL MERCADO]]-tb_investimentos[[#This Row],[VALOR TOTAL PONDERADO]],"")</f>
        <v/>
      </c>
      <c r="T244" s="58" t="str">
        <f ca="1">IFERROR(_xlfn.XLOOKUP(tb_investimentos[[#This Row],[DESCRIÇÃO]],'INFO AÇÕES'!E:E,'INFO AÇÕES'!H:H),"")</f>
        <v/>
      </c>
      <c r="U244" s="59" t="str">
        <f ca="1">IFERROR((tb_investimentos[[#This Row],[VALOR TOTAL MERCADO]]-tb_investimentos[[#This Row],[VALOR TOTAL PONDERADO]])/tb_investimentos[[#This Row],[VALOR TOTAL PONDERADO]],"")</f>
        <v/>
      </c>
    </row>
    <row r="245" spans="2:21" hidden="1" x14ac:dyDescent="0.2">
      <c r="B245" s="13" t="s">
        <v>77</v>
      </c>
      <c r="C245" s="72">
        <v>46767</v>
      </c>
      <c r="D245" s="9" t="s">
        <v>78</v>
      </c>
      <c r="E245" s="11" t="str">
        <f>IF(tb_investimentos[[#This Row],[TIPO MOVIMENTAÇÃO]]="Aporte",_xlfn.XLOOKUP(tb_investimentos[[#This Row],[DESCRIÇÃO]],'INFO AÇÕES'!E:E,'INFO AÇÕES'!I:I),"BRL")</f>
        <v>BRL</v>
      </c>
      <c r="F245" s="75" t="s">
        <v>101</v>
      </c>
      <c r="G245" s="11">
        <v>1</v>
      </c>
      <c r="H245" s="12">
        <v>79.900000000000006</v>
      </c>
      <c r="I245" s="13" t="s">
        <v>107</v>
      </c>
      <c r="J245" s="51">
        <f t="shared" si="6"/>
        <v>79.900000000000006</v>
      </c>
      <c r="K245" s="13" t="s">
        <v>105</v>
      </c>
      <c r="L245">
        <f>MONTH(tb_investimentos[[#This Row],[DATA]])</f>
        <v>1</v>
      </c>
      <c r="M245">
        <f>YEAR(tb_investimentos[[#This Row],[DATA]])</f>
        <v>2028</v>
      </c>
      <c r="N245">
        <f>DAY(tb_investimentos[[#This Row],[DATA]])</f>
        <v>15</v>
      </c>
      <c r="O245">
        <f t="shared" si="7"/>
        <v>59.90000000000002</v>
      </c>
      <c r="P245">
        <f>tb_investimentos[[#This Row],[PREÇO MÉDIO PONDERADO]]*tb_investimentos[[#This Row],[QUANTIDADE]]</f>
        <v>59.90000000000002</v>
      </c>
      <c r="Q245" s="58" t="str">
        <f ca="1">IFERROR(_xlfn.XLOOKUP(tb_investimentos[[#This Row],[DESCRIÇÃO]],tb_acoes[Símbolo do ticker],tb_acoes[Preço]),"")</f>
        <v/>
      </c>
      <c r="R245" s="58" t="str">
        <f ca="1">IFERROR(tb_investimentos[[#This Row],[QUANTIDADE]]*tb_investimentos[[#This Row],[PREÇO MERCADO]],"")</f>
        <v/>
      </c>
      <c r="S245" s="58" t="str">
        <f ca="1">IFERROR(tb_investimentos[[#This Row],[VALOR TOTAL MERCADO]]-tb_investimentos[[#This Row],[VALOR TOTAL PONDERADO]],"")</f>
        <v/>
      </c>
      <c r="T245" s="58" t="str">
        <f ca="1">IFERROR(_xlfn.XLOOKUP(tb_investimentos[[#This Row],[DESCRIÇÃO]],'INFO AÇÕES'!E:E,'INFO AÇÕES'!H:H),"")</f>
        <v/>
      </c>
      <c r="U245" s="59" t="str">
        <f ca="1">IFERROR((tb_investimentos[[#This Row],[VALOR TOTAL MERCADO]]-tb_investimentos[[#This Row],[VALOR TOTAL PONDERADO]])/tb_investimentos[[#This Row],[VALOR TOTAL PONDERADO]],"")</f>
        <v/>
      </c>
    </row>
    <row r="246" spans="2:21" hidden="1" x14ac:dyDescent="0.2">
      <c r="B246" s="13" t="s">
        <v>77</v>
      </c>
      <c r="C246" s="72">
        <v>46767</v>
      </c>
      <c r="D246" s="9" t="s">
        <v>79</v>
      </c>
      <c r="E246" s="11" t="str">
        <f>IF(tb_investimentos[[#This Row],[TIPO MOVIMENTAÇÃO]]="Aporte",_xlfn.XLOOKUP(tb_investimentos[[#This Row],[DESCRIÇÃO]],'INFO AÇÕES'!E:E,'INFO AÇÕES'!I:I),"BRL")</f>
        <v>BRL</v>
      </c>
      <c r="F246" s="75" t="s">
        <v>100</v>
      </c>
      <c r="G246" s="11">
        <v>1</v>
      </c>
      <c r="H246" s="12">
        <v>110</v>
      </c>
      <c r="I246" s="13" t="s">
        <v>107</v>
      </c>
      <c r="J246" s="51">
        <f t="shared" si="6"/>
        <v>110</v>
      </c>
      <c r="K246" s="13" t="s">
        <v>105</v>
      </c>
      <c r="L246">
        <f>MONTH(tb_investimentos[[#This Row],[DATA]])</f>
        <v>1</v>
      </c>
      <c r="M246">
        <f>YEAR(tb_investimentos[[#This Row],[DATA]])</f>
        <v>2028</v>
      </c>
      <c r="N246">
        <f>DAY(tb_investimentos[[#This Row],[DATA]])</f>
        <v>15</v>
      </c>
      <c r="O246">
        <f t="shared" si="7"/>
        <v>110</v>
      </c>
      <c r="P246">
        <f>tb_investimentos[[#This Row],[PREÇO MÉDIO PONDERADO]]*tb_investimentos[[#This Row],[QUANTIDADE]]</f>
        <v>110</v>
      </c>
      <c r="Q246" s="58" t="str">
        <f ca="1">IFERROR(_xlfn.XLOOKUP(tb_investimentos[[#This Row],[DESCRIÇÃO]],tb_acoes[Símbolo do ticker],tb_acoes[Preço]),"")</f>
        <v/>
      </c>
      <c r="R246" s="58" t="str">
        <f ca="1">IFERROR(tb_investimentos[[#This Row],[QUANTIDADE]]*tb_investimentos[[#This Row],[PREÇO MERCADO]],"")</f>
        <v/>
      </c>
      <c r="S246" s="58" t="str">
        <f ca="1">IFERROR(tb_investimentos[[#This Row],[VALOR TOTAL MERCADO]]-tb_investimentos[[#This Row],[VALOR TOTAL PONDERADO]],"")</f>
        <v/>
      </c>
      <c r="T246" s="58" t="str">
        <f ca="1">IFERROR(_xlfn.XLOOKUP(tb_investimentos[[#This Row],[DESCRIÇÃO]],'INFO AÇÕES'!E:E,'INFO AÇÕES'!H:H),"")</f>
        <v/>
      </c>
      <c r="U246" s="59" t="str">
        <f ca="1">IFERROR((tb_investimentos[[#This Row],[VALOR TOTAL MERCADO]]-tb_investimentos[[#This Row],[VALOR TOTAL PONDERADO]])/tb_investimentos[[#This Row],[VALOR TOTAL PONDERADO]],"")</f>
        <v/>
      </c>
    </row>
    <row r="247" spans="2:21" hidden="1" x14ac:dyDescent="0.2">
      <c r="B247" s="13" t="s">
        <v>77</v>
      </c>
      <c r="C247" s="72">
        <v>46767</v>
      </c>
      <c r="D247" s="9" t="s">
        <v>80</v>
      </c>
      <c r="E247" s="11" t="str">
        <f>IF(tb_investimentos[[#This Row],[TIPO MOVIMENTAÇÃO]]="Aporte",_xlfn.XLOOKUP(tb_investimentos[[#This Row],[DESCRIÇÃO]],'INFO AÇÕES'!E:E,'INFO AÇÕES'!I:I),"BRL")</f>
        <v>BRL</v>
      </c>
      <c r="F247" s="75" t="s">
        <v>99</v>
      </c>
      <c r="G247" s="11">
        <v>1</v>
      </c>
      <c r="H247" s="12">
        <v>25</v>
      </c>
      <c r="I247" s="13" t="s">
        <v>107</v>
      </c>
      <c r="J247" s="51">
        <f t="shared" si="6"/>
        <v>25</v>
      </c>
      <c r="K247" s="13" t="s">
        <v>105</v>
      </c>
      <c r="L247">
        <f>MONTH(tb_investimentos[[#This Row],[DATA]])</f>
        <v>1</v>
      </c>
      <c r="M247">
        <f>YEAR(tb_investimentos[[#This Row],[DATA]])</f>
        <v>2028</v>
      </c>
      <c r="N247">
        <f>DAY(tb_investimentos[[#This Row],[DATA]])</f>
        <v>15</v>
      </c>
      <c r="O247">
        <f t="shared" si="7"/>
        <v>25</v>
      </c>
      <c r="P247">
        <f>tb_investimentos[[#This Row],[PREÇO MÉDIO PONDERADO]]*tb_investimentos[[#This Row],[QUANTIDADE]]</f>
        <v>25</v>
      </c>
      <c r="Q247" s="58" t="str">
        <f ca="1">IFERROR(_xlfn.XLOOKUP(tb_investimentos[[#This Row],[DESCRIÇÃO]],tb_acoes[Símbolo do ticker],tb_acoes[Preço]),"")</f>
        <v/>
      </c>
      <c r="R247" s="58" t="str">
        <f ca="1">IFERROR(tb_investimentos[[#This Row],[QUANTIDADE]]*tb_investimentos[[#This Row],[PREÇO MERCADO]],"")</f>
        <v/>
      </c>
      <c r="S247" s="58" t="str">
        <f ca="1">IFERROR(tb_investimentos[[#This Row],[VALOR TOTAL MERCADO]]-tb_investimentos[[#This Row],[VALOR TOTAL PONDERADO]],"")</f>
        <v/>
      </c>
      <c r="T247" s="58" t="str">
        <f ca="1">IFERROR(_xlfn.XLOOKUP(tb_investimentos[[#This Row],[DESCRIÇÃO]],'INFO AÇÕES'!E:E,'INFO AÇÕES'!H:H),"")</f>
        <v/>
      </c>
      <c r="U247" s="59" t="str">
        <f ca="1">IFERROR((tb_investimentos[[#This Row],[VALOR TOTAL MERCADO]]-tb_investimentos[[#This Row],[VALOR TOTAL PONDERADO]])/tb_investimentos[[#This Row],[VALOR TOTAL PONDERADO]],"")</f>
        <v/>
      </c>
    </row>
    <row r="248" spans="2:21" hidden="1" x14ac:dyDescent="0.2">
      <c r="B248" s="13" t="s">
        <v>72</v>
      </c>
      <c r="C248" s="72">
        <v>46788</v>
      </c>
      <c r="D248" s="9" t="s">
        <v>76</v>
      </c>
      <c r="E248" s="11" t="str">
        <f>IF(tb_investimentos[[#This Row],[TIPO MOVIMENTAÇÃO]]="Aporte",_xlfn.XLOOKUP(tb_investimentos[[#This Row],[DESCRIÇÃO]],'INFO AÇÕES'!E:E,'INFO AÇÕES'!I:I),"BRL")</f>
        <v>BRL</v>
      </c>
      <c r="F248" s="75" t="s">
        <v>73</v>
      </c>
      <c r="G248" s="11">
        <v>1</v>
      </c>
      <c r="H248" s="12">
        <v>8000</v>
      </c>
      <c r="I248" s="13" t="s">
        <v>107</v>
      </c>
      <c r="J248" s="51">
        <f t="shared" si="6"/>
        <v>8000</v>
      </c>
      <c r="K248" s="13" t="s">
        <v>105</v>
      </c>
      <c r="L248">
        <f>MONTH(tb_investimentos[[#This Row],[DATA]])</f>
        <v>2</v>
      </c>
      <c r="M248">
        <f>YEAR(tb_investimentos[[#This Row],[DATA]])</f>
        <v>2028</v>
      </c>
      <c r="N248">
        <f>DAY(tb_investimentos[[#This Row],[DATA]])</f>
        <v>5</v>
      </c>
      <c r="O248">
        <f t="shared" si="7"/>
        <v>7801.7948717948721</v>
      </c>
      <c r="P248">
        <f>tb_investimentos[[#This Row],[PREÇO MÉDIO PONDERADO]]*tb_investimentos[[#This Row],[QUANTIDADE]]</f>
        <v>7801.7948717948721</v>
      </c>
      <c r="Q248" s="58" t="str">
        <f ca="1">IFERROR(_xlfn.XLOOKUP(tb_investimentos[[#This Row],[DESCRIÇÃO]],tb_acoes[Símbolo do ticker],tb_acoes[Preço]),"")</f>
        <v/>
      </c>
      <c r="R248" s="58" t="str">
        <f ca="1">IFERROR(tb_investimentos[[#This Row],[QUANTIDADE]]*tb_investimentos[[#This Row],[PREÇO MERCADO]],"")</f>
        <v/>
      </c>
      <c r="S248" s="58" t="str">
        <f ca="1">IFERROR(tb_investimentos[[#This Row],[VALOR TOTAL MERCADO]]-tb_investimentos[[#This Row],[VALOR TOTAL PONDERADO]],"")</f>
        <v/>
      </c>
      <c r="T248" s="58" t="str">
        <f ca="1">IFERROR(_xlfn.XLOOKUP(tb_investimentos[[#This Row],[DESCRIÇÃO]],'INFO AÇÕES'!E:E,'INFO AÇÕES'!H:H),"")</f>
        <v/>
      </c>
      <c r="U248" s="59" t="str">
        <f ca="1">IFERROR((tb_investimentos[[#This Row],[VALOR TOTAL MERCADO]]-tb_investimentos[[#This Row],[VALOR TOTAL PONDERADO]])/tb_investimentos[[#This Row],[VALOR TOTAL PONDERADO]],"")</f>
        <v/>
      </c>
    </row>
    <row r="249" spans="2:21" hidden="1" x14ac:dyDescent="0.2">
      <c r="B249" s="13" t="s">
        <v>39</v>
      </c>
      <c r="C249" s="10">
        <v>46788</v>
      </c>
      <c r="D249" s="9"/>
      <c r="E249" s="11">
        <f ca="1">IF(tb_investimentos[[#This Row],[TIPO MOVIMENTAÇÃO]]="Aporte",_xlfn.XLOOKUP(tb_investimentos[[#This Row],[DESCRIÇÃO]],'INFO AÇÕES'!E:E,'INFO AÇÕES'!I:I),"BRL")</f>
        <v>0</v>
      </c>
      <c r="F249" s="73" t="s">
        <v>10</v>
      </c>
      <c r="G249" s="11">
        <v>1</v>
      </c>
      <c r="H249" s="12">
        <v>4000</v>
      </c>
      <c r="I249" s="13" t="s">
        <v>58</v>
      </c>
      <c r="J249" s="51">
        <f t="shared" si="6"/>
        <v>4000</v>
      </c>
      <c r="K249" s="11" t="s">
        <v>105</v>
      </c>
      <c r="L249">
        <f>MONTH(tb_investimentos[[#This Row],[DATA]])</f>
        <v>2</v>
      </c>
      <c r="M249">
        <f>YEAR(tb_investimentos[[#This Row],[DATA]])</f>
        <v>2028</v>
      </c>
      <c r="N249">
        <f>DAY(tb_investimentos[[#This Row],[DATA]])</f>
        <v>5</v>
      </c>
      <c r="O249" t="e">
        <f t="shared" si="7"/>
        <v>#DIV/0!</v>
      </c>
      <c r="P249" t="e">
        <f>tb_investimentos[[#This Row],[PREÇO MÉDIO PONDERADO]]*tb_investimentos[[#This Row],[QUANTIDADE]]</f>
        <v>#DIV/0!</v>
      </c>
      <c r="Q249" s="58" t="str">
        <f ca="1">IFERROR(_xlfn.XLOOKUP(tb_investimentos[[#This Row],[DESCRIÇÃO]],tb_acoes[Símbolo do ticker],tb_acoes[Preço]),"")</f>
        <v/>
      </c>
      <c r="R249" s="58" t="str">
        <f ca="1">IFERROR(tb_investimentos[[#This Row],[QUANTIDADE]]*tb_investimentos[[#This Row],[PREÇO MERCADO]],"")</f>
        <v/>
      </c>
      <c r="S249" s="58" t="str">
        <f ca="1">IFERROR(tb_investimentos[[#This Row],[VALOR TOTAL MERCADO]]-tb_investimentos[[#This Row],[VALOR TOTAL PONDERADO]],"")</f>
        <v/>
      </c>
      <c r="T249" s="58" t="str">
        <f ca="1">IFERROR(_xlfn.XLOOKUP(tb_investimentos[[#This Row],[DESCRIÇÃO]],'INFO AÇÕES'!E:E,'INFO AÇÕES'!H:H),"")</f>
        <v/>
      </c>
      <c r="U249" s="59" t="str">
        <f ca="1">IFERROR((tb_investimentos[[#This Row],[VALOR TOTAL MERCADO]]-tb_investimentos[[#This Row],[VALOR TOTAL PONDERADO]])/tb_investimentos[[#This Row],[VALOR TOTAL PONDERADO]],"")</f>
        <v/>
      </c>
    </row>
    <row r="250" spans="2:21" hidden="1" x14ac:dyDescent="0.2">
      <c r="B250" s="13" t="s">
        <v>77</v>
      </c>
      <c r="C250" s="10">
        <v>46798</v>
      </c>
      <c r="D250" s="9" t="s">
        <v>88</v>
      </c>
      <c r="E250" s="11" t="str">
        <f>IF(tb_investimentos[[#This Row],[TIPO MOVIMENTAÇÃO]]="Aporte",_xlfn.XLOOKUP(tb_investimentos[[#This Row],[DESCRIÇÃO]],'INFO AÇÕES'!E:E,'INFO AÇÕES'!I:I),"BRL")</f>
        <v>BRL</v>
      </c>
      <c r="F250" s="75" t="s">
        <v>91</v>
      </c>
      <c r="G250" s="11">
        <v>1</v>
      </c>
      <c r="H250" s="12">
        <v>1665.5536400000001</v>
      </c>
      <c r="I250" s="13" t="s">
        <v>107</v>
      </c>
      <c r="J250" s="51">
        <f t="shared" si="6"/>
        <v>1665.5536400000001</v>
      </c>
      <c r="K250" s="13" t="s">
        <v>105</v>
      </c>
      <c r="L250">
        <f>MONTH(tb_investimentos[[#This Row],[DATA]])</f>
        <v>2</v>
      </c>
      <c r="M250">
        <f>YEAR(tb_investimentos[[#This Row],[DATA]])</f>
        <v>2028</v>
      </c>
      <c r="N250">
        <f>DAY(tb_investimentos[[#This Row],[DATA]])</f>
        <v>15</v>
      </c>
      <c r="O250">
        <f t="shared" si="7"/>
        <v>1629.9930261538464</v>
      </c>
      <c r="P250">
        <f>tb_investimentos[[#This Row],[PREÇO MÉDIO PONDERADO]]*tb_investimentos[[#This Row],[QUANTIDADE]]</f>
        <v>1629.9930261538464</v>
      </c>
      <c r="Q250" s="58" t="str">
        <f ca="1">IFERROR(_xlfn.XLOOKUP(tb_investimentos[[#This Row],[DESCRIÇÃO]],tb_acoes[Símbolo do ticker],tb_acoes[Preço]),"")</f>
        <v/>
      </c>
      <c r="R250" s="58" t="str">
        <f ca="1">IFERROR(tb_investimentos[[#This Row],[QUANTIDADE]]*tb_investimentos[[#This Row],[PREÇO MERCADO]],"")</f>
        <v/>
      </c>
      <c r="S250" s="58" t="str">
        <f ca="1">IFERROR(tb_investimentos[[#This Row],[VALOR TOTAL MERCADO]]-tb_investimentos[[#This Row],[VALOR TOTAL PONDERADO]],"")</f>
        <v/>
      </c>
      <c r="T250" s="58" t="str">
        <f ca="1">IFERROR(_xlfn.XLOOKUP(tb_investimentos[[#This Row],[DESCRIÇÃO]],'INFO AÇÕES'!E:E,'INFO AÇÕES'!H:H),"")</f>
        <v/>
      </c>
      <c r="U250" s="59" t="str">
        <f ca="1">IFERROR((tb_investimentos[[#This Row],[VALOR TOTAL MERCADO]]-tb_investimentos[[#This Row],[VALOR TOTAL PONDERADO]])/tb_investimentos[[#This Row],[VALOR TOTAL PONDERADO]],"")</f>
        <v/>
      </c>
    </row>
    <row r="251" spans="2:21" hidden="1" x14ac:dyDescent="0.2">
      <c r="B251" s="13" t="s">
        <v>77</v>
      </c>
      <c r="C251" s="72">
        <v>46798</v>
      </c>
      <c r="D251" s="9" t="s">
        <v>78</v>
      </c>
      <c r="E251" s="11" t="str">
        <f>IF(tb_investimentos[[#This Row],[TIPO MOVIMENTAÇÃO]]="Aporte",_xlfn.XLOOKUP(tb_investimentos[[#This Row],[DESCRIÇÃO]],'INFO AÇÕES'!E:E,'INFO AÇÕES'!I:I),"BRL")</f>
        <v>BRL</v>
      </c>
      <c r="F251" s="75" t="s">
        <v>102</v>
      </c>
      <c r="G251" s="11">
        <v>1</v>
      </c>
      <c r="H251" s="12">
        <v>39.9</v>
      </c>
      <c r="I251" s="13" t="s">
        <v>107</v>
      </c>
      <c r="J251" s="51">
        <f t="shared" si="6"/>
        <v>39.9</v>
      </c>
      <c r="K251" s="13" t="s">
        <v>105</v>
      </c>
      <c r="L251">
        <f>MONTH(tb_investimentos[[#This Row],[DATA]])</f>
        <v>2</v>
      </c>
      <c r="M251">
        <f>YEAR(tb_investimentos[[#This Row],[DATA]])</f>
        <v>2028</v>
      </c>
      <c r="N251">
        <f>DAY(tb_investimentos[[#This Row],[DATA]])</f>
        <v>15</v>
      </c>
      <c r="O251">
        <f t="shared" si="7"/>
        <v>59.90000000000002</v>
      </c>
      <c r="P251">
        <f>tb_investimentos[[#This Row],[PREÇO MÉDIO PONDERADO]]*tb_investimentos[[#This Row],[QUANTIDADE]]</f>
        <v>59.90000000000002</v>
      </c>
      <c r="Q251" s="58" t="str">
        <f ca="1">IFERROR(_xlfn.XLOOKUP(tb_investimentos[[#This Row],[DESCRIÇÃO]],tb_acoes[Símbolo do ticker],tb_acoes[Preço]),"")</f>
        <v/>
      </c>
      <c r="R251" s="58" t="str">
        <f ca="1">IFERROR(tb_investimentos[[#This Row],[QUANTIDADE]]*tb_investimentos[[#This Row],[PREÇO MERCADO]],"")</f>
        <v/>
      </c>
      <c r="S251" s="58" t="str">
        <f ca="1">IFERROR(tb_investimentos[[#This Row],[VALOR TOTAL MERCADO]]-tb_investimentos[[#This Row],[VALOR TOTAL PONDERADO]],"")</f>
        <v/>
      </c>
      <c r="T251" s="58" t="str">
        <f ca="1">IFERROR(_xlfn.XLOOKUP(tb_investimentos[[#This Row],[DESCRIÇÃO]],'INFO AÇÕES'!E:E,'INFO AÇÕES'!H:H),"")</f>
        <v/>
      </c>
      <c r="U251" s="59" t="str">
        <f ca="1">IFERROR((tb_investimentos[[#This Row],[VALOR TOTAL MERCADO]]-tb_investimentos[[#This Row],[VALOR TOTAL PONDERADO]])/tb_investimentos[[#This Row],[VALOR TOTAL PONDERADO]],"")</f>
        <v/>
      </c>
    </row>
    <row r="252" spans="2:21" hidden="1" x14ac:dyDescent="0.2">
      <c r="B252" s="13" t="s">
        <v>77</v>
      </c>
      <c r="C252" s="72">
        <v>46798</v>
      </c>
      <c r="D252" s="9" t="s">
        <v>78</v>
      </c>
      <c r="E252" s="11" t="str">
        <f>IF(tb_investimentos[[#This Row],[TIPO MOVIMENTAÇÃO]]="Aporte",_xlfn.XLOOKUP(tb_investimentos[[#This Row],[DESCRIÇÃO]],'INFO AÇÕES'!E:E,'INFO AÇÕES'!I:I),"BRL")</f>
        <v>BRL</v>
      </c>
      <c r="F252" s="75" t="s">
        <v>101</v>
      </c>
      <c r="G252" s="11">
        <v>1</v>
      </c>
      <c r="H252" s="12">
        <v>79.900000000000006</v>
      </c>
      <c r="I252" s="13" t="s">
        <v>107</v>
      </c>
      <c r="J252" s="51">
        <f t="shared" si="6"/>
        <v>79.900000000000006</v>
      </c>
      <c r="K252" s="13" t="s">
        <v>105</v>
      </c>
      <c r="L252">
        <f>MONTH(tb_investimentos[[#This Row],[DATA]])</f>
        <v>2</v>
      </c>
      <c r="M252">
        <f>YEAR(tb_investimentos[[#This Row],[DATA]])</f>
        <v>2028</v>
      </c>
      <c r="N252">
        <f>DAY(tb_investimentos[[#This Row],[DATA]])</f>
        <v>15</v>
      </c>
      <c r="O252">
        <f t="shared" si="7"/>
        <v>59.90000000000002</v>
      </c>
      <c r="P252">
        <f>tb_investimentos[[#This Row],[PREÇO MÉDIO PONDERADO]]*tb_investimentos[[#This Row],[QUANTIDADE]]</f>
        <v>59.90000000000002</v>
      </c>
      <c r="Q252" s="58" t="str">
        <f ca="1">IFERROR(_xlfn.XLOOKUP(tb_investimentos[[#This Row],[DESCRIÇÃO]],tb_acoes[Símbolo do ticker],tb_acoes[Preço]),"")</f>
        <v/>
      </c>
      <c r="R252" s="58" t="str">
        <f ca="1">IFERROR(tb_investimentos[[#This Row],[QUANTIDADE]]*tb_investimentos[[#This Row],[PREÇO MERCADO]],"")</f>
        <v/>
      </c>
      <c r="S252" s="58" t="str">
        <f ca="1">IFERROR(tb_investimentos[[#This Row],[VALOR TOTAL MERCADO]]-tb_investimentos[[#This Row],[VALOR TOTAL PONDERADO]],"")</f>
        <v/>
      </c>
      <c r="T252" s="58" t="str">
        <f ca="1">IFERROR(_xlfn.XLOOKUP(tb_investimentos[[#This Row],[DESCRIÇÃO]],'INFO AÇÕES'!E:E,'INFO AÇÕES'!H:H),"")</f>
        <v/>
      </c>
      <c r="U252" s="59" t="str">
        <f ca="1">IFERROR((tb_investimentos[[#This Row],[VALOR TOTAL MERCADO]]-tb_investimentos[[#This Row],[VALOR TOTAL PONDERADO]])/tb_investimentos[[#This Row],[VALOR TOTAL PONDERADO]],"")</f>
        <v/>
      </c>
    </row>
    <row r="253" spans="2:21" hidden="1" x14ac:dyDescent="0.2">
      <c r="B253" s="13" t="s">
        <v>77</v>
      </c>
      <c r="C253" s="72">
        <v>46798</v>
      </c>
      <c r="D253" s="9" t="s">
        <v>79</v>
      </c>
      <c r="E253" s="11" t="str">
        <f>IF(tb_investimentos[[#This Row],[TIPO MOVIMENTAÇÃO]]="Aporte",_xlfn.XLOOKUP(tb_investimentos[[#This Row],[DESCRIÇÃO]],'INFO AÇÕES'!E:E,'INFO AÇÕES'!I:I),"BRL")</f>
        <v>BRL</v>
      </c>
      <c r="F253" s="75" t="s">
        <v>100</v>
      </c>
      <c r="G253" s="11">
        <v>1</v>
      </c>
      <c r="H253" s="12">
        <v>110</v>
      </c>
      <c r="I253" s="13" t="s">
        <v>107</v>
      </c>
      <c r="J253" s="51">
        <f t="shared" si="6"/>
        <v>110</v>
      </c>
      <c r="K253" s="13" t="s">
        <v>105</v>
      </c>
      <c r="L253">
        <f>MONTH(tb_investimentos[[#This Row],[DATA]])</f>
        <v>2</v>
      </c>
      <c r="M253">
        <f>YEAR(tb_investimentos[[#This Row],[DATA]])</f>
        <v>2028</v>
      </c>
      <c r="N253">
        <f>DAY(tb_investimentos[[#This Row],[DATA]])</f>
        <v>15</v>
      </c>
      <c r="O253">
        <f t="shared" si="7"/>
        <v>110</v>
      </c>
      <c r="P253">
        <f>tb_investimentos[[#This Row],[PREÇO MÉDIO PONDERADO]]*tb_investimentos[[#This Row],[QUANTIDADE]]</f>
        <v>110</v>
      </c>
      <c r="Q253" s="58" t="str">
        <f ca="1">IFERROR(_xlfn.XLOOKUP(tb_investimentos[[#This Row],[DESCRIÇÃO]],tb_acoes[Símbolo do ticker],tb_acoes[Preço]),"")</f>
        <v/>
      </c>
      <c r="R253" s="58" t="str">
        <f ca="1">IFERROR(tb_investimentos[[#This Row],[QUANTIDADE]]*tb_investimentos[[#This Row],[PREÇO MERCADO]],"")</f>
        <v/>
      </c>
      <c r="S253" s="58" t="str">
        <f ca="1">IFERROR(tb_investimentos[[#This Row],[VALOR TOTAL MERCADO]]-tb_investimentos[[#This Row],[VALOR TOTAL PONDERADO]],"")</f>
        <v/>
      </c>
      <c r="T253" s="58" t="str">
        <f ca="1">IFERROR(_xlfn.XLOOKUP(tb_investimentos[[#This Row],[DESCRIÇÃO]],'INFO AÇÕES'!E:E,'INFO AÇÕES'!H:H),"")</f>
        <v/>
      </c>
      <c r="U253" s="59" t="str">
        <f ca="1">IFERROR((tb_investimentos[[#This Row],[VALOR TOTAL MERCADO]]-tb_investimentos[[#This Row],[VALOR TOTAL PONDERADO]])/tb_investimentos[[#This Row],[VALOR TOTAL PONDERADO]],"")</f>
        <v/>
      </c>
    </row>
    <row r="254" spans="2:21" hidden="1" x14ac:dyDescent="0.2">
      <c r="B254" s="13" t="s">
        <v>77</v>
      </c>
      <c r="C254" s="72">
        <v>46798</v>
      </c>
      <c r="D254" s="9" t="s">
        <v>80</v>
      </c>
      <c r="E254" s="11" t="str">
        <f>IF(tb_investimentos[[#This Row],[TIPO MOVIMENTAÇÃO]]="Aporte",_xlfn.XLOOKUP(tb_investimentos[[#This Row],[DESCRIÇÃO]],'INFO AÇÕES'!E:E,'INFO AÇÕES'!I:I),"BRL")</f>
        <v>BRL</v>
      </c>
      <c r="F254" s="75" t="s">
        <v>99</v>
      </c>
      <c r="G254" s="11">
        <v>1</v>
      </c>
      <c r="H254" s="12">
        <v>25</v>
      </c>
      <c r="I254" s="13" t="s">
        <v>107</v>
      </c>
      <c r="J254" s="51">
        <f t="shared" si="6"/>
        <v>25</v>
      </c>
      <c r="K254" s="13" t="s">
        <v>105</v>
      </c>
      <c r="L254">
        <f>MONTH(tb_investimentos[[#This Row],[DATA]])</f>
        <v>2</v>
      </c>
      <c r="M254">
        <f>YEAR(tb_investimentos[[#This Row],[DATA]])</f>
        <v>2028</v>
      </c>
      <c r="N254">
        <f>DAY(tb_investimentos[[#This Row],[DATA]])</f>
        <v>15</v>
      </c>
      <c r="O254">
        <f t="shared" si="7"/>
        <v>25</v>
      </c>
      <c r="P254">
        <f>tb_investimentos[[#This Row],[PREÇO MÉDIO PONDERADO]]*tb_investimentos[[#This Row],[QUANTIDADE]]</f>
        <v>25</v>
      </c>
      <c r="Q254" s="58" t="str">
        <f ca="1">IFERROR(_xlfn.XLOOKUP(tb_investimentos[[#This Row],[DESCRIÇÃO]],tb_acoes[Símbolo do ticker],tb_acoes[Preço]),"")</f>
        <v/>
      </c>
      <c r="R254" s="58" t="str">
        <f ca="1">IFERROR(tb_investimentos[[#This Row],[QUANTIDADE]]*tb_investimentos[[#This Row],[PREÇO MERCADO]],"")</f>
        <v/>
      </c>
      <c r="S254" s="58" t="str">
        <f ca="1">IFERROR(tb_investimentos[[#This Row],[VALOR TOTAL MERCADO]]-tb_investimentos[[#This Row],[VALOR TOTAL PONDERADO]],"")</f>
        <v/>
      </c>
      <c r="T254" s="58" t="str">
        <f ca="1">IFERROR(_xlfn.XLOOKUP(tb_investimentos[[#This Row],[DESCRIÇÃO]],'INFO AÇÕES'!E:E,'INFO AÇÕES'!H:H),"")</f>
        <v/>
      </c>
      <c r="U254" s="59" t="str">
        <f ca="1">IFERROR((tb_investimentos[[#This Row],[VALOR TOTAL MERCADO]]-tb_investimentos[[#This Row],[VALOR TOTAL PONDERADO]])/tb_investimentos[[#This Row],[VALOR TOTAL PONDERADO]],"")</f>
        <v/>
      </c>
    </row>
    <row r="255" spans="2:21" hidden="1" x14ac:dyDescent="0.2">
      <c r="B255" s="13" t="s">
        <v>72</v>
      </c>
      <c r="C255" s="72">
        <v>46817</v>
      </c>
      <c r="D255" s="9" t="s">
        <v>76</v>
      </c>
      <c r="E255" s="11" t="str">
        <f>IF(tb_investimentos[[#This Row],[TIPO MOVIMENTAÇÃO]]="Aporte",_xlfn.XLOOKUP(tb_investimentos[[#This Row],[DESCRIÇÃO]],'INFO AÇÕES'!E:E,'INFO AÇÕES'!I:I),"BRL")</f>
        <v>BRL</v>
      </c>
      <c r="F255" s="75" t="s">
        <v>73</v>
      </c>
      <c r="G255" s="11">
        <v>1</v>
      </c>
      <c r="H255" s="12">
        <v>8000</v>
      </c>
      <c r="I255" s="13" t="s">
        <v>107</v>
      </c>
      <c r="J255" s="51">
        <f t="shared" si="6"/>
        <v>8000</v>
      </c>
      <c r="K255" s="13" t="s">
        <v>105</v>
      </c>
      <c r="L255">
        <f>MONTH(tb_investimentos[[#This Row],[DATA]])</f>
        <v>3</v>
      </c>
      <c r="M255">
        <f>YEAR(tb_investimentos[[#This Row],[DATA]])</f>
        <v>2028</v>
      </c>
      <c r="N255">
        <f>DAY(tb_investimentos[[#This Row],[DATA]])</f>
        <v>5</v>
      </c>
      <c r="O255">
        <f t="shared" si="7"/>
        <v>7801.7948717948721</v>
      </c>
      <c r="P255">
        <f>tb_investimentos[[#This Row],[PREÇO MÉDIO PONDERADO]]*tb_investimentos[[#This Row],[QUANTIDADE]]</f>
        <v>7801.7948717948721</v>
      </c>
      <c r="Q255" s="58" t="str">
        <f ca="1">IFERROR(_xlfn.XLOOKUP(tb_investimentos[[#This Row],[DESCRIÇÃO]],tb_acoes[Símbolo do ticker],tb_acoes[Preço]),"")</f>
        <v/>
      </c>
      <c r="R255" s="58" t="str">
        <f ca="1">IFERROR(tb_investimentos[[#This Row],[QUANTIDADE]]*tb_investimentos[[#This Row],[PREÇO MERCADO]],"")</f>
        <v/>
      </c>
      <c r="S255" s="58" t="str">
        <f ca="1">IFERROR(tb_investimentos[[#This Row],[VALOR TOTAL MERCADO]]-tb_investimentos[[#This Row],[VALOR TOTAL PONDERADO]],"")</f>
        <v/>
      </c>
      <c r="T255" s="58" t="str">
        <f ca="1">IFERROR(_xlfn.XLOOKUP(tb_investimentos[[#This Row],[DESCRIÇÃO]],'INFO AÇÕES'!E:E,'INFO AÇÕES'!H:H),"")</f>
        <v/>
      </c>
      <c r="U255" s="59" t="str">
        <f ca="1">IFERROR((tb_investimentos[[#This Row],[VALOR TOTAL MERCADO]]-tb_investimentos[[#This Row],[VALOR TOTAL PONDERADO]])/tb_investimentos[[#This Row],[VALOR TOTAL PONDERADO]],"")</f>
        <v/>
      </c>
    </row>
    <row r="256" spans="2:21" hidden="1" x14ac:dyDescent="0.2">
      <c r="B256" s="13" t="s">
        <v>39</v>
      </c>
      <c r="C256" s="10">
        <v>46817</v>
      </c>
      <c r="D256" s="9"/>
      <c r="E256" s="11">
        <f ca="1">IF(tb_investimentos[[#This Row],[TIPO MOVIMENTAÇÃO]]="Aporte",_xlfn.XLOOKUP(tb_investimentos[[#This Row],[DESCRIÇÃO]],'INFO AÇÕES'!E:E,'INFO AÇÕES'!I:I),"BRL")</f>
        <v>0</v>
      </c>
      <c r="F256" s="73" t="s">
        <v>10</v>
      </c>
      <c r="G256" s="11">
        <v>1</v>
      </c>
      <c r="H256" s="12">
        <v>4000</v>
      </c>
      <c r="I256" s="13" t="s">
        <v>58</v>
      </c>
      <c r="J256" s="51">
        <f t="shared" si="6"/>
        <v>4000</v>
      </c>
      <c r="K256" s="11" t="s">
        <v>105</v>
      </c>
      <c r="L256">
        <f>MONTH(tb_investimentos[[#This Row],[DATA]])</f>
        <v>3</v>
      </c>
      <c r="M256">
        <f>YEAR(tb_investimentos[[#This Row],[DATA]])</f>
        <v>2028</v>
      </c>
      <c r="N256">
        <f>DAY(tb_investimentos[[#This Row],[DATA]])</f>
        <v>5</v>
      </c>
      <c r="O256" t="e">
        <f t="shared" si="7"/>
        <v>#DIV/0!</v>
      </c>
      <c r="P256" t="e">
        <f>tb_investimentos[[#This Row],[PREÇO MÉDIO PONDERADO]]*tb_investimentos[[#This Row],[QUANTIDADE]]</f>
        <v>#DIV/0!</v>
      </c>
      <c r="Q256" s="58" t="str">
        <f ca="1">IFERROR(_xlfn.XLOOKUP(tb_investimentos[[#This Row],[DESCRIÇÃO]],tb_acoes[Símbolo do ticker],tb_acoes[Preço]),"")</f>
        <v/>
      </c>
      <c r="R256" s="58" t="str">
        <f ca="1">IFERROR(tb_investimentos[[#This Row],[QUANTIDADE]]*tb_investimentos[[#This Row],[PREÇO MERCADO]],"")</f>
        <v/>
      </c>
      <c r="S256" s="58" t="str">
        <f ca="1">IFERROR(tb_investimentos[[#This Row],[VALOR TOTAL MERCADO]]-tb_investimentos[[#This Row],[VALOR TOTAL PONDERADO]],"")</f>
        <v/>
      </c>
      <c r="T256" s="58" t="str">
        <f ca="1">IFERROR(_xlfn.XLOOKUP(tb_investimentos[[#This Row],[DESCRIÇÃO]],'INFO AÇÕES'!E:E,'INFO AÇÕES'!H:H),"")</f>
        <v/>
      </c>
      <c r="U256" s="59" t="str">
        <f ca="1">IFERROR((tb_investimentos[[#This Row],[VALOR TOTAL MERCADO]]-tb_investimentos[[#This Row],[VALOR TOTAL PONDERADO]])/tb_investimentos[[#This Row],[VALOR TOTAL PONDERADO]],"")</f>
        <v/>
      </c>
    </row>
    <row r="257" spans="2:21" hidden="1" x14ac:dyDescent="0.2">
      <c r="B257" s="13" t="s">
        <v>77</v>
      </c>
      <c r="C257" s="10">
        <v>46827</v>
      </c>
      <c r="D257" s="9" t="s">
        <v>88</v>
      </c>
      <c r="E257" s="11" t="str">
        <f>IF(tb_investimentos[[#This Row],[TIPO MOVIMENTAÇÃO]]="Aporte",_xlfn.XLOOKUP(tb_investimentos[[#This Row],[DESCRIÇÃO]],'INFO AÇÕES'!E:E,'INFO AÇÕES'!I:I),"BRL")</f>
        <v>BRL</v>
      </c>
      <c r="F257" s="75" t="s">
        <v>91</v>
      </c>
      <c r="G257" s="11">
        <v>1</v>
      </c>
      <c r="H257" s="12">
        <v>1713.4439600000001</v>
      </c>
      <c r="I257" s="13" t="s">
        <v>107</v>
      </c>
      <c r="J257" s="51">
        <f t="shared" si="6"/>
        <v>1713.4439600000001</v>
      </c>
      <c r="K257" s="13" t="s">
        <v>105</v>
      </c>
      <c r="L257">
        <f>MONTH(tb_investimentos[[#This Row],[DATA]])</f>
        <v>3</v>
      </c>
      <c r="M257">
        <f>YEAR(tb_investimentos[[#This Row],[DATA]])</f>
        <v>2028</v>
      </c>
      <c r="N257">
        <f>DAY(tb_investimentos[[#This Row],[DATA]])</f>
        <v>15</v>
      </c>
      <c r="O257">
        <f t="shared" si="7"/>
        <v>1629.9930261538464</v>
      </c>
      <c r="P257">
        <f>tb_investimentos[[#This Row],[PREÇO MÉDIO PONDERADO]]*tb_investimentos[[#This Row],[QUANTIDADE]]</f>
        <v>1629.9930261538464</v>
      </c>
      <c r="Q257" s="58" t="str">
        <f ca="1">IFERROR(_xlfn.XLOOKUP(tb_investimentos[[#This Row],[DESCRIÇÃO]],tb_acoes[Símbolo do ticker],tb_acoes[Preço]),"")</f>
        <v/>
      </c>
      <c r="R257" s="58" t="str">
        <f ca="1">IFERROR(tb_investimentos[[#This Row],[QUANTIDADE]]*tb_investimentos[[#This Row],[PREÇO MERCADO]],"")</f>
        <v/>
      </c>
      <c r="S257" s="58" t="str">
        <f ca="1">IFERROR(tb_investimentos[[#This Row],[VALOR TOTAL MERCADO]]-tb_investimentos[[#This Row],[VALOR TOTAL PONDERADO]],"")</f>
        <v/>
      </c>
      <c r="T257" s="58" t="str">
        <f ca="1">IFERROR(_xlfn.XLOOKUP(tb_investimentos[[#This Row],[DESCRIÇÃO]],'INFO AÇÕES'!E:E,'INFO AÇÕES'!H:H),"")</f>
        <v/>
      </c>
      <c r="U257" s="59" t="str">
        <f ca="1">IFERROR((tb_investimentos[[#This Row],[VALOR TOTAL MERCADO]]-tb_investimentos[[#This Row],[VALOR TOTAL PONDERADO]])/tb_investimentos[[#This Row],[VALOR TOTAL PONDERADO]],"")</f>
        <v/>
      </c>
    </row>
    <row r="258" spans="2:21" hidden="1" x14ac:dyDescent="0.2">
      <c r="B258" s="13" t="s">
        <v>77</v>
      </c>
      <c r="C258" s="72">
        <v>46827</v>
      </c>
      <c r="D258" s="9" t="s">
        <v>78</v>
      </c>
      <c r="E258" s="11" t="str">
        <f>IF(tb_investimentos[[#This Row],[TIPO MOVIMENTAÇÃO]]="Aporte",_xlfn.XLOOKUP(tb_investimentos[[#This Row],[DESCRIÇÃO]],'INFO AÇÕES'!E:E,'INFO AÇÕES'!I:I),"BRL")</f>
        <v>BRL</v>
      </c>
      <c r="F258" s="75" t="s">
        <v>102</v>
      </c>
      <c r="G258" s="11">
        <v>1</v>
      </c>
      <c r="H258" s="12">
        <v>39.9</v>
      </c>
      <c r="I258" s="13" t="s">
        <v>107</v>
      </c>
      <c r="J258" s="51">
        <f t="shared" si="6"/>
        <v>39.9</v>
      </c>
      <c r="K258" s="13" t="s">
        <v>105</v>
      </c>
      <c r="L258">
        <f>MONTH(tb_investimentos[[#This Row],[DATA]])</f>
        <v>3</v>
      </c>
      <c r="M258">
        <f>YEAR(tb_investimentos[[#This Row],[DATA]])</f>
        <v>2028</v>
      </c>
      <c r="N258">
        <f>DAY(tb_investimentos[[#This Row],[DATA]])</f>
        <v>15</v>
      </c>
      <c r="O258">
        <f t="shared" si="7"/>
        <v>59.90000000000002</v>
      </c>
      <c r="P258">
        <f>tb_investimentos[[#This Row],[PREÇO MÉDIO PONDERADO]]*tb_investimentos[[#This Row],[QUANTIDADE]]</f>
        <v>59.90000000000002</v>
      </c>
      <c r="Q258" s="58" t="str">
        <f ca="1">IFERROR(_xlfn.XLOOKUP(tb_investimentos[[#This Row],[DESCRIÇÃO]],tb_acoes[Símbolo do ticker],tb_acoes[Preço]),"")</f>
        <v/>
      </c>
      <c r="R258" s="58" t="str">
        <f ca="1">IFERROR(tb_investimentos[[#This Row],[QUANTIDADE]]*tb_investimentos[[#This Row],[PREÇO MERCADO]],"")</f>
        <v/>
      </c>
      <c r="S258" s="58" t="str">
        <f ca="1">IFERROR(tb_investimentos[[#This Row],[VALOR TOTAL MERCADO]]-tb_investimentos[[#This Row],[VALOR TOTAL PONDERADO]],"")</f>
        <v/>
      </c>
      <c r="T258" s="58" t="str">
        <f ca="1">IFERROR(_xlfn.XLOOKUP(tb_investimentos[[#This Row],[DESCRIÇÃO]],'INFO AÇÕES'!E:E,'INFO AÇÕES'!H:H),"")</f>
        <v/>
      </c>
      <c r="U258" s="59" t="str">
        <f ca="1">IFERROR((tb_investimentos[[#This Row],[VALOR TOTAL MERCADO]]-tb_investimentos[[#This Row],[VALOR TOTAL PONDERADO]])/tb_investimentos[[#This Row],[VALOR TOTAL PONDERADO]],"")</f>
        <v/>
      </c>
    </row>
    <row r="259" spans="2:21" hidden="1" x14ac:dyDescent="0.2">
      <c r="B259" s="13" t="s">
        <v>77</v>
      </c>
      <c r="C259" s="72">
        <v>46827</v>
      </c>
      <c r="D259" s="9" t="s">
        <v>78</v>
      </c>
      <c r="E259" s="11" t="str">
        <f>IF(tb_investimentos[[#This Row],[TIPO MOVIMENTAÇÃO]]="Aporte",_xlfn.XLOOKUP(tb_investimentos[[#This Row],[DESCRIÇÃO]],'INFO AÇÕES'!E:E,'INFO AÇÕES'!I:I),"BRL")</f>
        <v>BRL</v>
      </c>
      <c r="F259" s="75" t="s">
        <v>101</v>
      </c>
      <c r="G259" s="11">
        <v>1</v>
      </c>
      <c r="H259" s="12">
        <v>79.900000000000006</v>
      </c>
      <c r="I259" s="13" t="s">
        <v>107</v>
      </c>
      <c r="J259" s="51">
        <f t="shared" si="6"/>
        <v>79.900000000000006</v>
      </c>
      <c r="K259" s="13" t="s">
        <v>105</v>
      </c>
      <c r="L259">
        <f>MONTH(tb_investimentos[[#This Row],[DATA]])</f>
        <v>3</v>
      </c>
      <c r="M259">
        <f>YEAR(tb_investimentos[[#This Row],[DATA]])</f>
        <v>2028</v>
      </c>
      <c r="N259">
        <f>DAY(tb_investimentos[[#This Row],[DATA]])</f>
        <v>15</v>
      </c>
      <c r="O259">
        <f t="shared" si="7"/>
        <v>59.90000000000002</v>
      </c>
      <c r="P259">
        <f>tb_investimentos[[#This Row],[PREÇO MÉDIO PONDERADO]]*tb_investimentos[[#This Row],[QUANTIDADE]]</f>
        <v>59.90000000000002</v>
      </c>
      <c r="Q259" s="58" t="str">
        <f ca="1">IFERROR(_xlfn.XLOOKUP(tb_investimentos[[#This Row],[DESCRIÇÃO]],tb_acoes[Símbolo do ticker],tb_acoes[Preço]),"")</f>
        <v/>
      </c>
      <c r="R259" s="58" t="str">
        <f ca="1">IFERROR(tb_investimentos[[#This Row],[QUANTIDADE]]*tb_investimentos[[#This Row],[PREÇO MERCADO]],"")</f>
        <v/>
      </c>
      <c r="S259" s="58" t="str">
        <f ca="1">IFERROR(tb_investimentos[[#This Row],[VALOR TOTAL MERCADO]]-tb_investimentos[[#This Row],[VALOR TOTAL PONDERADO]],"")</f>
        <v/>
      </c>
      <c r="T259" s="58" t="str">
        <f ca="1">IFERROR(_xlfn.XLOOKUP(tb_investimentos[[#This Row],[DESCRIÇÃO]],'INFO AÇÕES'!E:E,'INFO AÇÕES'!H:H),"")</f>
        <v/>
      </c>
      <c r="U259" s="59" t="str">
        <f ca="1">IFERROR((tb_investimentos[[#This Row],[VALOR TOTAL MERCADO]]-tb_investimentos[[#This Row],[VALOR TOTAL PONDERADO]])/tb_investimentos[[#This Row],[VALOR TOTAL PONDERADO]],"")</f>
        <v/>
      </c>
    </row>
    <row r="260" spans="2:21" hidden="1" x14ac:dyDescent="0.2">
      <c r="B260" s="13" t="s">
        <v>77</v>
      </c>
      <c r="C260" s="72">
        <v>46827</v>
      </c>
      <c r="D260" s="9" t="s">
        <v>79</v>
      </c>
      <c r="E260" s="11" t="str">
        <f>IF(tb_investimentos[[#This Row],[TIPO MOVIMENTAÇÃO]]="Aporte",_xlfn.XLOOKUP(tb_investimentos[[#This Row],[DESCRIÇÃO]],'INFO AÇÕES'!E:E,'INFO AÇÕES'!I:I),"BRL")</f>
        <v>BRL</v>
      </c>
      <c r="F260" s="75" t="s">
        <v>100</v>
      </c>
      <c r="G260" s="11">
        <v>1</v>
      </c>
      <c r="H260" s="12">
        <v>110</v>
      </c>
      <c r="I260" s="13" t="s">
        <v>107</v>
      </c>
      <c r="J260" s="51">
        <f t="shared" si="6"/>
        <v>110</v>
      </c>
      <c r="K260" s="13" t="s">
        <v>105</v>
      </c>
      <c r="L260">
        <f>MONTH(tb_investimentos[[#This Row],[DATA]])</f>
        <v>3</v>
      </c>
      <c r="M260">
        <f>YEAR(tb_investimentos[[#This Row],[DATA]])</f>
        <v>2028</v>
      </c>
      <c r="N260">
        <f>DAY(tb_investimentos[[#This Row],[DATA]])</f>
        <v>15</v>
      </c>
      <c r="O260">
        <f t="shared" si="7"/>
        <v>110</v>
      </c>
      <c r="P260">
        <f>tb_investimentos[[#This Row],[PREÇO MÉDIO PONDERADO]]*tb_investimentos[[#This Row],[QUANTIDADE]]</f>
        <v>110</v>
      </c>
      <c r="Q260" s="58" t="str">
        <f ca="1">IFERROR(_xlfn.XLOOKUP(tb_investimentos[[#This Row],[DESCRIÇÃO]],tb_acoes[Símbolo do ticker],tb_acoes[Preço]),"")</f>
        <v/>
      </c>
      <c r="R260" s="58" t="str">
        <f ca="1">IFERROR(tb_investimentos[[#This Row],[QUANTIDADE]]*tb_investimentos[[#This Row],[PREÇO MERCADO]],"")</f>
        <v/>
      </c>
      <c r="S260" s="58" t="str">
        <f ca="1">IFERROR(tb_investimentos[[#This Row],[VALOR TOTAL MERCADO]]-tb_investimentos[[#This Row],[VALOR TOTAL PONDERADO]],"")</f>
        <v/>
      </c>
      <c r="T260" s="58" t="str">
        <f ca="1">IFERROR(_xlfn.XLOOKUP(tb_investimentos[[#This Row],[DESCRIÇÃO]],'INFO AÇÕES'!E:E,'INFO AÇÕES'!H:H),"")</f>
        <v/>
      </c>
      <c r="U260" s="59" t="str">
        <f ca="1">IFERROR((tb_investimentos[[#This Row],[VALOR TOTAL MERCADO]]-tb_investimentos[[#This Row],[VALOR TOTAL PONDERADO]])/tb_investimentos[[#This Row],[VALOR TOTAL PONDERADO]],"")</f>
        <v/>
      </c>
    </row>
    <row r="261" spans="2:21" hidden="1" x14ac:dyDescent="0.2">
      <c r="B261" s="13" t="s">
        <v>77</v>
      </c>
      <c r="C261" s="72">
        <v>46827</v>
      </c>
      <c r="D261" s="9" t="s">
        <v>80</v>
      </c>
      <c r="E261" s="11" t="str">
        <f>IF(tb_investimentos[[#This Row],[TIPO MOVIMENTAÇÃO]]="Aporte",_xlfn.XLOOKUP(tb_investimentos[[#This Row],[DESCRIÇÃO]],'INFO AÇÕES'!E:E,'INFO AÇÕES'!I:I),"BRL")</f>
        <v>BRL</v>
      </c>
      <c r="F261" s="75" t="s">
        <v>99</v>
      </c>
      <c r="G261" s="11">
        <v>1</v>
      </c>
      <c r="H261" s="12">
        <v>25</v>
      </c>
      <c r="I261" s="13" t="s">
        <v>107</v>
      </c>
      <c r="J261" s="51">
        <f t="shared" ref="J261:J324" si="8">H261*G261</f>
        <v>25</v>
      </c>
      <c r="K261" s="13" t="s">
        <v>105</v>
      </c>
      <c r="L261">
        <f>MONTH(tb_investimentos[[#This Row],[DATA]])</f>
        <v>3</v>
      </c>
      <c r="M261">
        <f>YEAR(tb_investimentos[[#This Row],[DATA]])</f>
        <v>2028</v>
      </c>
      <c r="N261">
        <f>DAY(tb_investimentos[[#This Row],[DATA]])</f>
        <v>15</v>
      </c>
      <c r="O261">
        <f t="shared" ref="O261:O324" si="9">SUMIF($D$5:$D$10000, D261, $J$5:$J$10000) / SUMIF($D$5:$D$10000, D261, $G$5:$G$10000)</f>
        <v>25</v>
      </c>
      <c r="P261">
        <f>tb_investimentos[[#This Row],[PREÇO MÉDIO PONDERADO]]*tb_investimentos[[#This Row],[QUANTIDADE]]</f>
        <v>25</v>
      </c>
      <c r="Q261" s="58" t="str">
        <f ca="1">IFERROR(_xlfn.XLOOKUP(tb_investimentos[[#This Row],[DESCRIÇÃO]],tb_acoes[Símbolo do ticker],tb_acoes[Preço]),"")</f>
        <v/>
      </c>
      <c r="R261" s="58" t="str">
        <f ca="1">IFERROR(tb_investimentos[[#This Row],[QUANTIDADE]]*tb_investimentos[[#This Row],[PREÇO MERCADO]],"")</f>
        <v/>
      </c>
      <c r="S261" s="58" t="str">
        <f ca="1">IFERROR(tb_investimentos[[#This Row],[VALOR TOTAL MERCADO]]-tb_investimentos[[#This Row],[VALOR TOTAL PONDERADO]],"")</f>
        <v/>
      </c>
      <c r="T261" s="58" t="str">
        <f ca="1">IFERROR(_xlfn.XLOOKUP(tb_investimentos[[#This Row],[DESCRIÇÃO]],'INFO AÇÕES'!E:E,'INFO AÇÕES'!H:H),"")</f>
        <v/>
      </c>
      <c r="U261" s="59" t="str">
        <f ca="1">IFERROR((tb_investimentos[[#This Row],[VALOR TOTAL MERCADO]]-tb_investimentos[[#This Row],[VALOR TOTAL PONDERADO]])/tb_investimentos[[#This Row],[VALOR TOTAL PONDERADO]],"")</f>
        <v/>
      </c>
    </row>
    <row r="262" spans="2:21" hidden="1" x14ac:dyDescent="0.2">
      <c r="B262" s="13" t="s">
        <v>72</v>
      </c>
      <c r="C262" s="72">
        <v>46848</v>
      </c>
      <c r="D262" s="9" t="s">
        <v>76</v>
      </c>
      <c r="E262" s="11" t="str">
        <f>IF(tb_investimentos[[#This Row],[TIPO MOVIMENTAÇÃO]]="Aporte",_xlfn.XLOOKUP(tb_investimentos[[#This Row],[DESCRIÇÃO]],'INFO AÇÕES'!E:E,'INFO AÇÕES'!I:I),"BRL")</f>
        <v>BRL</v>
      </c>
      <c r="F262" s="75" t="s">
        <v>73</v>
      </c>
      <c r="G262" s="11">
        <v>1</v>
      </c>
      <c r="H262" s="12">
        <v>8000</v>
      </c>
      <c r="I262" s="13" t="s">
        <v>107</v>
      </c>
      <c r="J262" s="51">
        <f t="shared" si="8"/>
        <v>8000</v>
      </c>
      <c r="K262" s="13" t="s">
        <v>105</v>
      </c>
      <c r="L262">
        <f>MONTH(tb_investimentos[[#This Row],[DATA]])</f>
        <v>4</v>
      </c>
      <c r="M262">
        <f>YEAR(tb_investimentos[[#This Row],[DATA]])</f>
        <v>2028</v>
      </c>
      <c r="N262">
        <f>DAY(tb_investimentos[[#This Row],[DATA]])</f>
        <v>5</v>
      </c>
      <c r="O262">
        <f t="shared" si="9"/>
        <v>7801.7948717948721</v>
      </c>
      <c r="P262">
        <f>tb_investimentos[[#This Row],[PREÇO MÉDIO PONDERADO]]*tb_investimentos[[#This Row],[QUANTIDADE]]</f>
        <v>7801.7948717948721</v>
      </c>
      <c r="Q262" s="58" t="str">
        <f ca="1">IFERROR(_xlfn.XLOOKUP(tb_investimentos[[#This Row],[DESCRIÇÃO]],tb_acoes[Símbolo do ticker],tb_acoes[Preço]),"")</f>
        <v/>
      </c>
      <c r="R262" s="58" t="str">
        <f ca="1">IFERROR(tb_investimentos[[#This Row],[QUANTIDADE]]*tb_investimentos[[#This Row],[PREÇO MERCADO]],"")</f>
        <v/>
      </c>
      <c r="S262" s="58" t="str">
        <f ca="1">IFERROR(tb_investimentos[[#This Row],[VALOR TOTAL MERCADO]]-tb_investimentos[[#This Row],[VALOR TOTAL PONDERADO]],"")</f>
        <v/>
      </c>
      <c r="T262" s="58" t="str">
        <f ca="1">IFERROR(_xlfn.XLOOKUP(tb_investimentos[[#This Row],[DESCRIÇÃO]],'INFO AÇÕES'!E:E,'INFO AÇÕES'!H:H),"")</f>
        <v/>
      </c>
      <c r="U262" s="59" t="str">
        <f ca="1">IFERROR((tb_investimentos[[#This Row],[VALOR TOTAL MERCADO]]-tb_investimentos[[#This Row],[VALOR TOTAL PONDERADO]])/tb_investimentos[[#This Row],[VALOR TOTAL PONDERADO]],"")</f>
        <v/>
      </c>
    </row>
    <row r="263" spans="2:21" hidden="1" x14ac:dyDescent="0.2">
      <c r="B263" s="13" t="s">
        <v>39</v>
      </c>
      <c r="C263" s="10">
        <v>46848</v>
      </c>
      <c r="D263" s="9"/>
      <c r="E263" s="11">
        <f ca="1">IF(tb_investimentos[[#This Row],[TIPO MOVIMENTAÇÃO]]="Aporte",_xlfn.XLOOKUP(tb_investimentos[[#This Row],[DESCRIÇÃO]],'INFO AÇÕES'!E:E,'INFO AÇÕES'!I:I),"BRL")</f>
        <v>0</v>
      </c>
      <c r="F263" s="73" t="s">
        <v>10</v>
      </c>
      <c r="G263" s="11">
        <v>1</v>
      </c>
      <c r="H263" s="12">
        <v>4000</v>
      </c>
      <c r="I263" s="13" t="s">
        <v>58</v>
      </c>
      <c r="J263" s="51">
        <f t="shared" si="8"/>
        <v>4000</v>
      </c>
      <c r="K263" s="11" t="s">
        <v>105</v>
      </c>
      <c r="L263">
        <f>MONTH(tb_investimentos[[#This Row],[DATA]])</f>
        <v>4</v>
      </c>
      <c r="M263">
        <f>YEAR(tb_investimentos[[#This Row],[DATA]])</f>
        <v>2028</v>
      </c>
      <c r="N263">
        <f>DAY(tb_investimentos[[#This Row],[DATA]])</f>
        <v>5</v>
      </c>
      <c r="O263" t="e">
        <f t="shared" si="9"/>
        <v>#DIV/0!</v>
      </c>
      <c r="P263" t="e">
        <f>tb_investimentos[[#This Row],[PREÇO MÉDIO PONDERADO]]*tb_investimentos[[#This Row],[QUANTIDADE]]</f>
        <v>#DIV/0!</v>
      </c>
      <c r="Q263" s="58" t="str">
        <f ca="1">IFERROR(_xlfn.XLOOKUP(tb_investimentos[[#This Row],[DESCRIÇÃO]],tb_acoes[Símbolo do ticker],tb_acoes[Preço]),"")</f>
        <v/>
      </c>
      <c r="R263" s="58" t="str">
        <f ca="1">IFERROR(tb_investimentos[[#This Row],[QUANTIDADE]]*tb_investimentos[[#This Row],[PREÇO MERCADO]],"")</f>
        <v/>
      </c>
      <c r="S263" s="58" t="str">
        <f ca="1">IFERROR(tb_investimentos[[#This Row],[VALOR TOTAL MERCADO]]-tb_investimentos[[#This Row],[VALOR TOTAL PONDERADO]],"")</f>
        <v/>
      </c>
      <c r="T263" s="58" t="str">
        <f ca="1">IFERROR(_xlfn.XLOOKUP(tb_investimentos[[#This Row],[DESCRIÇÃO]],'INFO AÇÕES'!E:E,'INFO AÇÕES'!H:H),"")</f>
        <v/>
      </c>
      <c r="U263" s="59" t="str">
        <f ca="1">IFERROR((tb_investimentos[[#This Row],[VALOR TOTAL MERCADO]]-tb_investimentos[[#This Row],[VALOR TOTAL PONDERADO]])/tb_investimentos[[#This Row],[VALOR TOTAL PONDERADO]],"")</f>
        <v/>
      </c>
    </row>
    <row r="264" spans="2:21" hidden="1" x14ac:dyDescent="0.2">
      <c r="B264" s="13" t="s">
        <v>77</v>
      </c>
      <c r="C264" s="10">
        <v>46858</v>
      </c>
      <c r="D264" s="9" t="s">
        <v>88</v>
      </c>
      <c r="E264" s="11" t="str">
        <f>IF(tb_investimentos[[#This Row],[TIPO MOVIMENTAÇÃO]]="Aporte",_xlfn.XLOOKUP(tb_investimentos[[#This Row],[DESCRIÇÃO]],'INFO AÇÕES'!E:E,'INFO AÇÕES'!I:I),"BRL")</f>
        <v>BRL</v>
      </c>
      <c r="F264" s="75" t="s">
        <v>91</v>
      </c>
      <c r="G264" s="11">
        <v>1</v>
      </c>
      <c r="H264" s="12">
        <v>1760.47984</v>
      </c>
      <c r="I264" s="13" t="s">
        <v>107</v>
      </c>
      <c r="J264" s="51">
        <f t="shared" si="8"/>
        <v>1760.47984</v>
      </c>
      <c r="K264" s="13" t="s">
        <v>105</v>
      </c>
      <c r="L264">
        <f>MONTH(tb_investimentos[[#This Row],[DATA]])</f>
        <v>4</v>
      </c>
      <c r="M264">
        <f>YEAR(tb_investimentos[[#This Row],[DATA]])</f>
        <v>2028</v>
      </c>
      <c r="N264">
        <f>DAY(tb_investimentos[[#This Row],[DATA]])</f>
        <v>15</v>
      </c>
      <c r="O264">
        <f t="shared" si="9"/>
        <v>1629.9930261538464</v>
      </c>
      <c r="P264">
        <f>tb_investimentos[[#This Row],[PREÇO MÉDIO PONDERADO]]*tb_investimentos[[#This Row],[QUANTIDADE]]</f>
        <v>1629.9930261538464</v>
      </c>
      <c r="Q264" s="58" t="str">
        <f ca="1">IFERROR(_xlfn.XLOOKUP(tb_investimentos[[#This Row],[DESCRIÇÃO]],tb_acoes[Símbolo do ticker],tb_acoes[Preço]),"")</f>
        <v/>
      </c>
      <c r="R264" s="58" t="str">
        <f ca="1">IFERROR(tb_investimentos[[#This Row],[QUANTIDADE]]*tb_investimentos[[#This Row],[PREÇO MERCADO]],"")</f>
        <v/>
      </c>
      <c r="S264" s="58" t="str">
        <f ca="1">IFERROR(tb_investimentos[[#This Row],[VALOR TOTAL MERCADO]]-tb_investimentos[[#This Row],[VALOR TOTAL PONDERADO]],"")</f>
        <v/>
      </c>
      <c r="T264" s="58" t="str">
        <f ca="1">IFERROR(_xlfn.XLOOKUP(tb_investimentos[[#This Row],[DESCRIÇÃO]],'INFO AÇÕES'!E:E,'INFO AÇÕES'!H:H),"")</f>
        <v/>
      </c>
      <c r="U264" s="59" t="str">
        <f ca="1">IFERROR((tb_investimentos[[#This Row],[VALOR TOTAL MERCADO]]-tb_investimentos[[#This Row],[VALOR TOTAL PONDERADO]])/tb_investimentos[[#This Row],[VALOR TOTAL PONDERADO]],"")</f>
        <v/>
      </c>
    </row>
    <row r="265" spans="2:21" hidden="1" x14ac:dyDescent="0.2">
      <c r="B265" s="13" t="s">
        <v>77</v>
      </c>
      <c r="C265" s="72">
        <v>46858</v>
      </c>
      <c r="D265" s="9" t="s">
        <v>78</v>
      </c>
      <c r="E265" s="11" t="str">
        <f>IF(tb_investimentos[[#This Row],[TIPO MOVIMENTAÇÃO]]="Aporte",_xlfn.XLOOKUP(tb_investimentos[[#This Row],[DESCRIÇÃO]],'INFO AÇÕES'!E:E,'INFO AÇÕES'!I:I),"BRL")</f>
        <v>BRL</v>
      </c>
      <c r="F265" s="75" t="s">
        <v>102</v>
      </c>
      <c r="G265" s="11">
        <v>1</v>
      </c>
      <c r="H265" s="12">
        <v>39.9</v>
      </c>
      <c r="I265" s="13" t="s">
        <v>107</v>
      </c>
      <c r="J265" s="51">
        <f t="shared" si="8"/>
        <v>39.9</v>
      </c>
      <c r="K265" s="13" t="s">
        <v>105</v>
      </c>
      <c r="L265">
        <f>MONTH(tb_investimentos[[#This Row],[DATA]])</f>
        <v>4</v>
      </c>
      <c r="M265">
        <f>YEAR(tb_investimentos[[#This Row],[DATA]])</f>
        <v>2028</v>
      </c>
      <c r="N265">
        <f>DAY(tb_investimentos[[#This Row],[DATA]])</f>
        <v>15</v>
      </c>
      <c r="O265">
        <f t="shared" si="9"/>
        <v>59.90000000000002</v>
      </c>
      <c r="P265">
        <f>tb_investimentos[[#This Row],[PREÇO MÉDIO PONDERADO]]*tb_investimentos[[#This Row],[QUANTIDADE]]</f>
        <v>59.90000000000002</v>
      </c>
      <c r="Q265" s="58" t="str">
        <f ca="1">IFERROR(_xlfn.XLOOKUP(tb_investimentos[[#This Row],[DESCRIÇÃO]],tb_acoes[Símbolo do ticker],tb_acoes[Preço]),"")</f>
        <v/>
      </c>
      <c r="R265" s="58" t="str">
        <f ca="1">IFERROR(tb_investimentos[[#This Row],[QUANTIDADE]]*tb_investimentos[[#This Row],[PREÇO MERCADO]],"")</f>
        <v/>
      </c>
      <c r="S265" s="58" t="str">
        <f ca="1">IFERROR(tb_investimentos[[#This Row],[VALOR TOTAL MERCADO]]-tb_investimentos[[#This Row],[VALOR TOTAL PONDERADO]],"")</f>
        <v/>
      </c>
      <c r="T265" s="58" t="str">
        <f ca="1">IFERROR(_xlfn.XLOOKUP(tb_investimentos[[#This Row],[DESCRIÇÃO]],'INFO AÇÕES'!E:E,'INFO AÇÕES'!H:H),"")</f>
        <v/>
      </c>
      <c r="U265" s="59" t="str">
        <f ca="1">IFERROR((tb_investimentos[[#This Row],[VALOR TOTAL MERCADO]]-tb_investimentos[[#This Row],[VALOR TOTAL PONDERADO]])/tb_investimentos[[#This Row],[VALOR TOTAL PONDERADO]],"")</f>
        <v/>
      </c>
    </row>
    <row r="266" spans="2:21" hidden="1" x14ac:dyDescent="0.2">
      <c r="B266" s="13" t="s">
        <v>77</v>
      </c>
      <c r="C266" s="72">
        <v>46858</v>
      </c>
      <c r="D266" s="9" t="s">
        <v>78</v>
      </c>
      <c r="E266" s="11" t="str">
        <f>IF(tb_investimentos[[#This Row],[TIPO MOVIMENTAÇÃO]]="Aporte",_xlfn.XLOOKUP(tb_investimentos[[#This Row],[DESCRIÇÃO]],'INFO AÇÕES'!E:E,'INFO AÇÕES'!I:I),"BRL")</f>
        <v>BRL</v>
      </c>
      <c r="F266" s="75" t="s">
        <v>101</v>
      </c>
      <c r="G266" s="11">
        <v>1</v>
      </c>
      <c r="H266" s="12">
        <v>79.900000000000006</v>
      </c>
      <c r="I266" s="13" t="s">
        <v>107</v>
      </c>
      <c r="J266" s="51">
        <f t="shared" si="8"/>
        <v>79.900000000000006</v>
      </c>
      <c r="K266" s="13" t="s">
        <v>105</v>
      </c>
      <c r="L266">
        <f>MONTH(tb_investimentos[[#This Row],[DATA]])</f>
        <v>4</v>
      </c>
      <c r="M266">
        <f>YEAR(tb_investimentos[[#This Row],[DATA]])</f>
        <v>2028</v>
      </c>
      <c r="N266">
        <f>DAY(tb_investimentos[[#This Row],[DATA]])</f>
        <v>15</v>
      </c>
      <c r="O266">
        <f t="shared" si="9"/>
        <v>59.90000000000002</v>
      </c>
      <c r="P266">
        <f>tb_investimentos[[#This Row],[PREÇO MÉDIO PONDERADO]]*tb_investimentos[[#This Row],[QUANTIDADE]]</f>
        <v>59.90000000000002</v>
      </c>
      <c r="Q266" s="58" t="str">
        <f ca="1">IFERROR(_xlfn.XLOOKUP(tb_investimentos[[#This Row],[DESCRIÇÃO]],tb_acoes[Símbolo do ticker],tb_acoes[Preço]),"")</f>
        <v/>
      </c>
      <c r="R266" s="58" t="str">
        <f ca="1">IFERROR(tb_investimentos[[#This Row],[QUANTIDADE]]*tb_investimentos[[#This Row],[PREÇO MERCADO]],"")</f>
        <v/>
      </c>
      <c r="S266" s="58" t="str">
        <f ca="1">IFERROR(tb_investimentos[[#This Row],[VALOR TOTAL MERCADO]]-tb_investimentos[[#This Row],[VALOR TOTAL PONDERADO]],"")</f>
        <v/>
      </c>
      <c r="T266" s="58" t="str">
        <f ca="1">IFERROR(_xlfn.XLOOKUP(tb_investimentos[[#This Row],[DESCRIÇÃO]],'INFO AÇÕES'!E:E,'INFO AÇÕES'!H:H),"")</f>
        <v/>
      </c>
      <c r="U266" s="59" t="str">
        <f ca="1">IFERROR((tb_investimentos[[#This Row],[VALOR TOTAL MERCADO]]-tb_investimentos[[#This Row],[VALOR TOTAL PONDERADO]])/tb_investimentos[[#This Row],[VALOR TOTAL PONDERADO]],"")</f>
        <v/>
      </c>
    </row>
    <row r="267" spans="2:21" hidden="1" x14ac:dyDescent="0.2">
      <c r="B267" s="13" t="s">
        <v>77</v>
      </c>
      <c r="C267" s="72">
        <v>46858</v>
      </c>
      <c r="D267" s="9" t="s">
        <v>79</v>
      </c>
      <c r="E267" s="11" t="str">
        <f>IF(tb_investimentos[[#This Row],[TIPO MOVIMENTAÇÃO]]="Aporte",_xlfn.XLOOKUP(tb_investimentos[[#This Row],[DESCRIÇÃO]],'INFO AÇÕES'!E:E,'INFO AÇÕES'!I:I),"BRL")</f>
        <v>BRL</v>
      </c>
      <c r="F267" s="75" t="s">
        <v>100</v>
      </c>
      <c r="G267" s="11">
        <v>1</v>
      </c>
      <c r="H267" s="12">
        <v>110</v>
      </c>
      <c r="I267" s="13" t="s">
        <v>107</v>
      </c>
      <c r="J267" s="51">
        <f t="shared" si="8"/>
        <v>110</v>
      </c>
      <c r="K267" s="13" t="s">
        <v>105</v>
      </c>
      <c r="L267">
        <f>MONTH(tb_investimentos[[#This Row],[DATA]])</f>
        <v>4</v>
      </c>
      <c r="M267">
        <f>YEAR(tb_investimentos[[#This Row],[DATA]])</f>
        <v>2028</v>
      </c>
      <c r="N267">
        <f>DAY(tb_investimentos[[#This Row],[DATA]])</f>
        <v>15</v>
      </c>
      <c r="O267">
        <f t="shared" si="9"/>
        <v>110</v>
      </c>
      <c r="P267">
        <f>tb_investimentos[[#This Row],[PREÇO MÉDIO PONDERADO]]*tb_investimentos[[#This Row],[QUANTIDADE]]</f>
        <v>110</v>
      </c>
      <c r="Q267" s="58" t="str">
        <f ca="1">IFERROR(_xlfn.XLOOKUP(tb_investimentos[[#This Row],[DESCRIÇÃO]],tb_acoes[Símbolo do ticker],tb_acoes[Preço]),"")</f>
        <v/>
      </c>
      <c r="R267" s="58" t="str">
        <f ca="1">IFERROR(tb_investimentos[[#This Row],[QUANTIDADE]]*tb_investimentos[[#This Row],[PREÇO MERCADO]],"")</f>
        <v/>
      </c>
      <c r="S267" s="58" t="str">
        <f ca="1">IFERROR(tb_investimentos[[#This Row],[VALOR TOTAL MERCADO]]-tb_investimentos[[#This Row],[VALOR TOTAL PONDERADO]],"")</f>
        <v/>
      </c>
      <c r="T267" s="58" t="str">
        <f ca="1">IFERROR(_xlfn.XLOOKUP(tb_investimentos[[#This Row],[DESCRIÇÃO]],'INFO AÇÕES'!E:E,'INFO AÇÕES'!H:H),"")</f>
        <v/>
      </c>
      <c r="U267" s="59" t="str">
        <f ca="1">IFERROR((tb_investimentos[[#This Row],[VALOR TOTAL MERCADO]]-tb_investimentos[[#This Row],[VALOR TOTAL PONDERADO]])/tb_investimentos[[#This Row],[VALOR TOTAL PONDERADO]],"")</f>
        <v/>
      </c>
    </row>
    <row r="268" spans="2:21" hidden="1" x14ac:dyDescent="0.2">
      <c r="B268" s="13" t="s">
        <v>77</v>
      </c>
      <c r="C268" s="72">
        <v>46858</v>
      </c>
      <c r="D268" s="9" t="s">
        <v>80</v>
      </c>
      <c r="E268" s="11" t="str">
        <f>IF(tb_investimentos[[#This Row],[TIPO MOVIMENTAÇÃO]]="Aporte",_xlfn.XLOOKUP(tb_investimentos[[#This Row],[DESCRIÇÃO]],'INFO AÇÕES'!E:E,'INFO AÇÕES'!I:I),"BRL")</f>
        <v>BRL</v>
      </c>
      <c r="F268" s="75" t="s">
        <v>99</v>
      </c>
      <c r="G268" s="11">
        <v>1</v>
      </c>
      <c r="H268" s="12">
        <v>25</v>
      </c>
      <c r="I268" s="13" t="s">
        <v>107</v>
      </c>
      <c r="J268" s="51">
        <f t="shared" si="8"/>
        <v>25</v>
      </c>
      <c r="K268" s="13" t="s">
        <v>105</v>
      </c>
      <c r="L268">
        <f>MONTH(tb_investimentos[[#This Row],[DATA]])</f>
        <v>4</v>
      </c>
      <c r="M268">
        <f>YEAR(tb_investimentos[[#This Row],[DATA]])</f>
        <v>2028</v>
      </c>
      <c r="N268">
        <f>DAY(tb_investimentos[[#This Row],[DATA]])</f>
        <v>15</v>
      </c>
      <c r="O268">
        <f t="shared" si="9"/>
        <v>25</v>
      </c>
      <c r="P268">
        <f>tb_investimentos[[#This Row],[PREÇO MÉDIO PONDERADO]]*tb_investimentos[[#This Row],[QUANTIDADE]]</f>
        <v>25</v>
      </c>
      <c r="Q268" s="58" t="str">
        <f ca="1">IFERROR(_xlfn.XLOOKUP(tb_investimentos[[#This Row],[DESCRIÇÃO]],tb_acoes[Símbolo do ticker],tb_acoes[Preço]),"")</f>
        <v/>
      </c>
      <c r="R268" s="58" t="str">
        <f ca="1">IFERROR(tb_investimentos[[#This Row],[QUANTIDADE]]*tb_investimentos[[#This Row],[PREÇO MERCADO]],"")</f>
        <v/>
      </c>
      <c r="S268" s="58" t="str">
        <f ca="1">IFERROR(tb_investimentos[[#This Row],[VALOR TOTAL MERCADO]]-tb_investimentos[[#This Row],[VALOR TOTAL PONDERADO]],"")</f>
        <v/>
      </c>
      <c r="T268" s="58" t="str">
        <f ca="1">IFERROR(_xlfn.XLOOKUP(tb_investimentos[[#This Row],[DESCRIÇÃO]],'INFO AÇÕES'!E:E,'INFO AÇÕES'!H:H),"")</f>
        <v/>
      </c>
      <c r="U268" s="59" t="str">
        <f ca="1">IFERROR((tb_investimentos[[#This Row],[VALOR TOTAL MERCADO]]-tb_investimentos[[#This Row],[VALOR TOTAL PONDERADO]])/tb_investimentos[[#This Row],[VALOR TOTAL PONDERADO]],"")</f>
        <v/>
      </c>
    </row>
    <row r="269" spans="2:21" hidden="1" x14ac:dyDescent="0.2">
      <c r="B269" s="13" t="s">
        <v>72</v>
      </c>
      <c r="C269" s="72">
        <v>46878</v>
      </c>
      <c r="D269" s="9" t="s">
        <v>76</v>
      </c>
      <c r="E269" s="11" t="str">
        <f>IF(tb_investimentos[[#This Row],[TIPO MOVIMENTAÇÃO]]="Aporte",_xlfn.XLOOKUP(tb_investimentos[[#This Row],[DESCRIÇÃO]],'INFO AÇÕES'!E:E,'INFO AÇÕES'!I:I),"BRL")</f>
        <v>BRL</v>
      </c>
      <c r="F269" s="75" t="s">
        <v>73</v>
      </c>
      <c r="G269" s="11">
        <v>1</v>
      </c>
      <c r="H269" s="12">
        <v>8000</v>
      </c>
      <c r="I269" s="13" t="s">
        <v>107</v>
      </c>
      <c r="J269" s="51">
        <f t="shared" si="8"/>
        <v>8000</v>
      </c>
      <c r="K269" s="13" t="s">
        <v>105</v>
      </c>
      <c r="L269">
        <f>MONTH(tb_investimentos[[#This Row],[DATA]])</f>
        <v>5</v>
      </c>
      <c r="M269">
        <f>YEAR(tb_investimentos[[#This Row],[DATA]])</f>
        <v>2028</v>
      </c>
      <c r="N269">
        <f>DAY(tb_investimentos[[#This Row],[DATA]])</f>
        <v>5</v>
      </c>
      <c r="O269">
        <f t="shared" si="9"/>
        <v>7801.7948717948721</v>
      </c>
      <c r="P269">
        <f>tb_investimentos[[#This Row],[PREÇO MÉDIO PONDERADO]]*tb_investimentos[[#This Row],[QUANTIDADE]]</f>
        <v>7801.7948717948721</v>
      </c>
      <c r="Q269" s="58" t="str">
        <f ca="1">IFERROR(_xlfn.XLOOKUP(tb_investimentos[[#This Row],[DESCRIÇÃO]],tb_acoes[Símbolo do ticker],tb_acoes[Preço]),"")</f>
        <v/>
      </c>
      <c r="R269" s="58" t="str">
        <f ca="1">IFERROR(tb_investimentos[[#This Row],[QUANTIDADE]]*tb_investimentos[[#This Row],[PREÇO MERCADO]],"")</f>
        <v/>
      </c>
      <c r="S269" s="58" t="str">
        <f ca="1">IFERROR(tb_investimentos[[#This Row],[VALOR TOTAL MERCADO]]-tb_investimentos[[#This Row],[VALOR TOTAL PONDERADO]],"")</f>
        <v/>
      </c>
      <c r="T269" s="58" t="str">
        <f ca="1">IFERROR(_xlfn.XLOOKUP(tb_investimentos[[#This Row],[DESCRIÇÃO]],'INFO AÇÕES'!E:E,'INFO AÇÕES'!H:H),"")</f>
        <v/>
      </c>
      <c r="U269" s="59" t="str">
        <f ca="1">IFERROR((tb_investimentos[[#This Row],[VALOR TOTAL MERCADO]]-tb_investimentos[[#This Row],[VALOR TOTAL PONDERADO]])/tb_investimentos[[#This Row],[VALOR TOTAL PONDERADO]],"")</f>
        <v/>
      </c>
    </row>
    <row r="270" spans="2:21" hidden="1" x14ac:dyDescent="0.2">
      <c r="B270" s="13" t="s">
        <v>39</v>
      </c>
      <c r="C270" s="10">
        <v>46878</v>
      </c>
      <c r="D270" s="9"/>
      <c r="E270" s="11">
        <f ca="1">IF(tb_investimentos[[#This Row],[TIPO MOVIMENTAÇÃO]]="Aporte",_xlfn.XLOOKUP(tb_investimentos[[#This Row],[DESCRIÇÃO]],'INFO AÇÕES'!E:E,'INFO AÇÕES'!I:I),"BRL")</f>
        <v>0</v>
      </c>
      <c r="F270" s="73" t="s">
        <v>10</v>
      </c>
      <c r="G270" s="11">
        <v>1</v>
      </c>
      <c r="H270" s="12">
        <v>4000</v>
      </c>
      <c r="I270" s="13" t="s">
        <v>58</v>
      </c>
      <c r="J270" s="51">
        <f t="shared" si="8"/>
        <v>4000</v>
      </c>
      <c r="K270" s="11" t="s">
        <v>105</v>
      </c>
      <c r="L270">
        <f>MONTH(tb_investimentos[[#This Row],[DATA]])</f>
        <v>5</v>
      </c>
      <c r="M270">
        <f>YEAR(tb_investimentos[[#This Row],[DATA]])</f>
        <v>2028</v>
      </c>
      <c r="N270">
        <f>DAY(tb_investimentos[[#This Row],[DATA]])</f>
        <v>5</v>
      </c>
      <c r="O270" t="e">
        <f t="shared" si="9"/>
        <v>#DIV/0!</v>
      </c>
      <c r="P270" t="e">
        <f>tb_investimentos[[#This Row],[PREÇO MÉDIO PONDERADO]]*tb_investimentos[[#This Row],[QUANTIDADE]]</f>
        <v>#DIV/0!</v>
      </c>
      <c r="Q270" s="58" t="str">
        <f ca="1">IFERROR(_xlfn.XLOOKUP(tb_investimentos[[#This Row],[DESCRIÇÃO]],tb_acoes[Símbolo do ticker],tb_acoes[Preço]),"")</f>
        <v/>
      </c>
      <c r="R270" s="58" t="str">
        <f ca="1">IFERROR(tb_investimentos[[#This Row],[QUANTIDADE]]*tb_investimentos[[#This Row],[PREÇO MERCADO]],"")</f>
        <v/>
      </c>
      <c r="S270" s="58" t="str">
        <f ca="1">IFERROR(tb_investimentos[[#This Row],[VALOR TOTAL MERCADO]]-tb_investimentos[[#This Row],[VALOR TOTAL PONDERADO]],"")</f>
        <v/>
      </c>
      <c r="T270" s="58" t="str">
        <f ca="1">IFERROR(_xlfn.XLOOKUP(tb_investimentos[[#This Row],[DESCRIÇÃO]],'INFO AÇÕES'!E:E,'INFO AÇÕES'!H:H),"")</f>
        <v/>
      </c>
      <c r="U270" s="59" t="str">
        <f ca="1">IFERROR((tb_investimentos[[#This Row],[VALOR TOTAL MERCADO]]-tb_investimentos[[#This Row],[VALOR TOTAL PONDERADO]])/tb_investimentos[[#This Row],[VALOR TOTAL PONDERADO]],"")</f>
        <v/>
      </c>
    </row>
    <row r="271" spans="2:21" hidden="1" x14ac:dyDescent="0.2">
      <c r="B271" s="13" t="s">
        <v>77</v>
      </c>
      <c r="C271" s="10">
        <v>46888</v>
      </c>
      <c r="D271" s="9" t="s">
        <v>88</v>
      </c>
      <c r="E271" s="11" t="str">
        <f>IF(tb_investimentos[[#This Row],[TIPO MOVIMENTAÇÃO]]="Aporte",_xlfn.XLOOKUP(tb_investimentos[[#This Row],[DESCRIÇÃO]],'INFO AÇÕES'!E:E,'INFO AÇÕES'!I:I),"BRL")</f>
        <v>BRL</v>
      </c>
      <c r="F271" s="75" t="s">
        <v>91</v>
      </c>
      <c r="G271" s="11">
        <v>1</v>
      </c>
      <c r="H271" s="12">
        <v>1785.6858200000001</v>
      </c>
      <c r="I271" s="13" t="s">
        <v>107</v>
      </c>
      <c r="J271" s="51">
        <f t="shared" si="8"/>
        <v>1785.6858200000001</v>
      </c>
      <c r="K271" s="13" t="s">
        <v>105</v>
      </c>
      <c r="L271">
        <f>MONTH(tb_investimentos[[#This Row],[DATA]])</f>
        <v>5</v>
      </c>
      <c r="M271">
        <f>YEAR(tb_investimentos[[#This Row],[DATA]])</f>
        <v>2028</v>
      </c>
      <c r="N271">
        <f>DAY(tb_investimentos[[#This Row],[DATA]])</f>
        <v>15</v>
      </c>
      <c r="O271">
        <f t="shared" si="9"/>
        <v>1629.9930261538464</v>
      </c>
      <c r="P271">
        <f>tb_investimentos[[#This Row],[PREÇO MÉDIO PONDERADO]]*tb_investimentos[[#This Row],[QUANTIDADE]]</f>
        <v>1629.9930261538464</v>
      </c>
      <c r="Q271" s="58" t="str">
        <f ca="1">IFERROR(_xlfn.XLOOKUP(tb_investimentos[[#This Row],[DESCRIÇÃO]],tb_acoes[Símbolo do ticker],tb_acoes[Preço]),"")</f>
        <v/>
      </c>
      <c r="R271" s="58" t="str">
        <f ca="1">IFERROR(tb_investimentos[[#This Row],[QUANTIDADE]]*tb_investimentos[[#This Row],[PREÇO MERCADO]],"")</f>
        <v/>
      </c>
      <c r="S271" s="58" t="str">
        <f ca="1">IFERROR(tb_investimentos[[#This Row],[VALOR TOTAL MERCADO]]-tb_investimentos[[#This Row],[VALOR TOTAL PONDERADO]],"")</f>
        <v/>
      </c>
      <c r="T271" s="58" t="str">
        <f ca="1">IFERROR(_xlfn.XLOOKUP(tb_investimentos[[#This Row],[DESCRIÇÃO]],'INFO AÇÕES'!E:E,'INFO AÇÕES'!H:H),"")</f>
        <v/>
      </c>
      <c r="U271" s="59" t="str">
        <f ca="1">IFERROR((tb_investimentos[[#This Row],[VALOR TOTAL MERCADO]]-tb_investimentos[[#This Row],[VALOR TOTAL PONDERADO]])/tb_investimentos[[#This Row],[VALOR TOTAL PONDERADO]],"")</f>
        <v/>
      </c>
    </row>
    <row r="272" spans="2:21" hidden="1" x14ac:dyDescent="0.2">
      <c r="B272" s="13" t="s">
        <v>77</v>
      </c>
      <c r="C272" s="72">
        <v>46888</v>
      </c>
      <c r="D272" s="9" t="s">
        <v>78</v>
      </c>
      <c r="E272" s="11" t="str">
        <f>IF(tb_investimentos[[#This Row],[TIPO MOVIMENTAÇÃO]]="Aporte",_xlfn.XLOOKUP(tb_investimentos[[#This Row],[DESCRIÇÃO]],'INFO AÇÕES'!E:E,'INFO AÇÕES'!I:I),"BRL")</f>
        <v>BRL</v>
      </c>
      <c r="F272" s="75" t="s">
        <v>102</v>
      </c>
      <c r="G272" s="11">
        <v>1</v>
      </c>
      <c r="H272" s="12">
        <v>39.9</v>
      </c>
      <c r="I272" s="13" t="s">
        <v>107</v>
      </c>
      <c r="J272" s="51">
        <f t="shared" si="8"/>
        <v>39.9</v>
      </c>
      <c r="K272" s="13" t="s">
        <v>105</v>
      </c>
      <c r="L272">
        <f>MONTH(tb_investimentos[[#This Row],[DATA]])</f>
        <v>5</v>
      </c>
      <c r="M272">
        <f>YEAR(tb_investimentos[[#This Row],[DATA]])</f>
        <v>2028</v>
      </c>
      <c r="N272">
        <f>DAY(tb_investimentos[[#This Row],[DATA]])</f>
        <v>15</v>
      </c>
      <c r="O272">
        <f t="shared" si="9"/>
        <v>59.90000000000002</v>
      </c>
      <c r="P272">
        <f>tb_investimentos[[#This Row],[PREÇO MÉDIO PONDERADO]]*tb_investimentos[[#This Row],[QUANTIDADE]]</f>
        <v>59.90000000000002</v>
      </c>
      <c r="Q272" s="58" t="str">
        <f ca="1">IFERROR(_xlfn.XLOOKUP(tb_investimentos[[#This Row],[DESCRIÇÃO]],tb_acoes[Símbolo do ticker],tb_acoes[Preço]),"")</f>
        <v/>
      </c>
      <c r="R272" s="58" t="str">
        <f ca="1">IFERROR(tb_investimentos[[#This Row],[QUANTIDADE]]*tb_investimentos[[#This Row],[PREÇO MERCADO]],"")</f>
        <v/>
      </c>
      <c r="S272" s="58" t="str">
        <f ca="1">IFERROR(tb_investimentos[[#This Row],[VALOR TOTAL MERCADO]]-tb_investimentos[[#This Row],[VALOR TOTAL PONDERADO]],"")</f>
        <v/>
      </c>
      <c r="T272" s="58" t="str">
        <f ca="1">IFERROR(_xlfn.XLOOKUP(tb_investimentos[[#This Row],[DESCRIÇÃO]],'INFO AÇÕES'!E:E,'INFO AÇÕES'!H:H),"")</f>
        <v/>
      </c>
      <c r="U272" s="59" t="str">
        <f ca="1">IFERROR((tb_investimentos[[#This Row],[VALOR TOTAL MERCADO]]-tb_investimentos[[#This Row],[VALOR TOTAL PONDERADO]])/tb_investimentos[[#This Row],[VALOR TOTAL PONDERADO]],"")</f>
        <v/>
      </c>
    </row>
    <row r="273" spans="2:21" hidden="1" x14ac:dyDescent="0.2">
      <c r="B273" s="13" t="s">
        <v>77</v>
      </c>
      <c r="C273" s="72">
        <v>46888</v>
      </c>
      <c r="D273" s="9" t="s">
        <v>78</v>
      </c>
      <c r="E273" s="11" t="str">
        <f>IF(tb_investimentos[[#This Row],[TIPO MOVIMENTAÇÃO]]="Aporte",_xlfn.XLOOKUP(tb_investimentos[[#This Row],[DESCRIÇÃO]],'INFO AÇÕES'!E:E,'INFO AÇÕES'!I:I),"BRL")</f>
        <v>BRL</v>
      </c>
      <c r="F273" s="75" t="s">
        <v>101</v>
      </c>
      <c r="G273" s="11">
        <v>1</v>
      </c>
      <c r="H273" s="12">
        <v>79.900000000000006</v>
      </c>
      <c r="I273" s="13" t="s">
        <v>107</v>
      </c>
      <c r="J273" s="51">
        <f t="shared" si="8"/>
        <v>79.900000000000006</v>
      </c>
      <c r="K273" s="13" t="s">
        <v>105</v>
      </c>
      <c r="L273">
        <f>MONTH(tb_investimentos[[#This Row],[DATA]])</f>
        <v>5</v>
      </c>
      <c r="M273">
        <f>YEAR(tb_investimentos[[#This Row],[DATA]])</f>
        <v>2028</v>
      </c>
      <c r="N273">
        <f>DAY(tb_investimentos[[#This Row],[DATA]])</f>
        <v>15</v>
      </c>
      <c r="O273">
        <f t="shared" si="9"/>
        <v>59.90000000000002</v>
      </c>
      <c r="P273">
        <f>tb_investimentos[[#This Row],[PREÇO MÉDIO PONDERADO]]*tb_investimentos[[#This Row],[QUANTIDADE]]</f>
        <v>59.90000000000002</v>
      </c>
      <c r="Q273" s="58" t="str">
        <f ca="1">IFERROR(_xlfn.XLOOKUP(tb_investimentos[[#This Row],[DESCRIÇÃO]],tb_acoes[Símbolo do ticker],tb_acoes[Preço]),"")</f>
        <v/>
      </c>
      <c r="R273" s="58" t="str">
        <f ca="1">IFERROR(tb_investimentos[[#This Row],[QUANTIDADE]]*tb_investimentos[[#This Row],[PREÇO MERCADO]],"")</f>
        <v/>
      </c>
      <c r="S273" s="58" t="str">
        <f ca="1">IFERROR(tb_investimentos[[#This Row],[VALOR TOTAL MERCADO]]-tb_investimentos[[#This Row],[VALOR TOTAL PONDERADO]],"")</f>
        <v/>
      </c>
      <c r="T273" s="58" t="str">
        <f ca="1">IFERROR(_xlfn.XLOOKUP(tb_investimentos[[#This Row],[DESCRIÇÃO]],'INFO AÇÕES'!E:E,'INFO AÇÕES'!H:H),"")</f>
        <v/>
      </c>
      <c r="U273" s="59" t="str">
        <f ca="1">IFERROR((tb_investimentos[[#This Row],[VALOR TOTAL MERCADO]]-tb_investimentos[[#This Row],[VALOR TOTAL PONDERADO]])/tb_investimentos[[#This Row],[VALOR TOTAL PONDERADO]],"")</f>
        <v/>
      </c>
    </row>
    <row r="274" spans="2:21" hidden="1" x14ac:dyDescent="0.2">
      <c r="B274" s="13" t="s">
        <v>77</v>
      </c>
      <c r="C274" s="72">
        <v>46888</v>
      </c>
      <c r="D274" s="9" t="s">
        <v>79</v>
      </c>
      <c r="E274" s="11" t="str">
        <f>IF(tb_investimentos[[#This Row],[TIPO MOVIMENTAÇÃO]]="Aporte",_xlfn.XLOOKUP(tb_investimentos[[#This Row],[DESCRIÇÃO]],'INFO AÇÕES'!E:E,'INFO AÇÕES'!I:I),"BRL")</f>
        <v>BRL</v>
      </c>
      <c r="F274" s="75" t="s">
        <v>100</v>
      </c>
      <c r="G274" s="11">
        <v>1</v>
      </c>
      <c r="H274" s="12">
        <v>110</v>
      </c>
      <c r="I274" s="13" t="s">
        <v>107</v>
      </c>
      <c r="J274" s="51">
        <f t="shared" si="8"/>
        <v>110</v>
      </c>
      <c r="K274" s="13" t="s">
        <v>105</v>
      </c>
      <c r="L274">
        <f>MONTH(tb_investimentos[[#This Row],[DATA]])</f>
        <v>5</v>
      </c>
      <c r="M274">
        <f>YEAR(tb_investimentos[[#This Row],[DATA]])</f>
        <v>2028</v>
      </c>
      <c r="N274">
        <f>DAY(tb_investimentos[[#This Row],[DATA]])</f>
        <v>15</v>
      </c>
      <c r="O274">
        <f t="shared" si="9"/>
        <v>110</v>
      </c>
      <c r="P274">
        <f>tb_investimentos[[#This Row],[PREÇO MÉDIO PONDERADO]]*tb_investimentos[[#This Row],[QUANTIDADE]]</f>
        <v>110</v>
      </c>
      <c r="Q274" s="58" t="str">
        <f ca="1">IFERROR(_xlfn.XLOOKUP(tb_investimentos[[#This Row],[DESCRIÇÃO]],tb_acoes[Símbolo do ticker],tb_acoes[Preço]),"")</f>
        <v/>
      </c>
      <c r="R274" s="58" t="str">
        <f ca="1">IFERROR(tb_investimentos[[#This Row],[QUANTIDADE]]*tb_investimentos[[#This Row],[PREÇO MERCADO]],"")</f>
        <v/>
      </c>
      <c r="S274" s="58" t="str">
        <f ca="1">IFERROR(tb_investimentos[[#This Row],[VALOR TOTAL MERCADO]]-tb_investimentos[[#This Row],[VALOR TOTAL PONDERADO]],"")</f>
        <v/>
      </c>
      <c r="T274" s="58" t="str">
        <f ca="1">IFERROR(_xlfn.XLOOKUP(tb_investimentos[[#This Row],[DESCRIÇÃO]],'INFO AÇÕES'!E:E,'INFO AÇÕES'!H:H),"")</f>
        <v/>
      </c>
      <c r="U274" s="59" t="str">
        <f ca="1">IFERROR((tb_investimentos[[#This Row],[VALOR TOTAL MERCADO]]-tb_investimentos[[#This Row],[VALOR TOTAL PONDERADO]])/tb_investimentos[[#This Row],[VALOR TOTAL PONDERADO]],"")</f>
        <v/>
      </c>
    </row>
    <row r="275" spans="2:21" hidden="1" x14ac:dyDescent="0.2">
      <c r="B275" s="13" t="s">
        <v>77</v>
      </c>
      <c r="C275" s="72">
        <v>46888</v>
      </c>
      <c r="D275" s="9" t="s">
        <v>80</v>
      </c>
      <c r="E275" s="11" t="str">
        <f>IF(tb_investimentos[[#This Row],[TIPO MOVIMENTAÇÃO]]="Aporte",_xlfn.XLOOKUP(tb_investimentos[[#This Row],[DESCRIÇÃO]],'INFO AÇÕES'!E:E,'INFO AÇÕES'!I:I),"BRL")</f>
        <v>BRL</v>
      </c>
      <c r="F275" s="75" t="s">
        <v>99</v>
      </c>
      <c r="G275" s="11">
        <v>1</v>
      </c>
      <c r="H275" s="12">
        <v>25</v>
      </c>
      <c r="I275" s="13" t="s">
        <v>107</v>
      </c>
      <c r="J275" s="51">
        <f t="shared" si="8"/>
        <v>25</v>
      </c>
      <c r="K275" s="13" t="s">
        <v>105</v>
      </c>
      <c r="L275">
        <f>MONTH(tb_investimentos[[#This Row],[DATA]])</f>
        <v>5</v>
      </c>
      <c r="M275">
        <f>YEAR(tb_investimentos[[#This Row],[DATA]])</f>
        <v>2028</v>
      </c>
      <c r="N275">
        <f>DAY(tb_investimentos[[#This Row],[DATA]])</f>
        <v>15</v>
      </c>
      <c r="O275">
        <f t="shared" si="9"/>
        <v>25</v>
      </c>
      <c r="P275">
        <f>tb_investimentos[[#This Row],[PREÇO MÉDIO PONDERADO]]*tb_investimentos[[#This Row],[QUANTIDADE]]</f>
        <v>25</v>
      </c>
      <c r="Q275" s="58" t="str">
        <f ca="1">IFERROR(_xlfn.XLOOKUP(tb_investimentos[[#This Row],[DESCRIÇÃO]],tb_acoes[Símbolo do ticker],tb_acoes[Preço]),"")</f>
        <v/>
      </c>
      <c r="R275" s="58" t="str">
        <f ca="1">IFERROR(tb_investimentos[[#This Row],[QUANTIDADE]]*tb_investimentos[[#This Row],[PREÇO MERCADO]],"")</f>
        <v/>
      </c>
      <c r="S275" s="58" t="str">
        <f ca="1">IFERROR(tb_investimentos[[#This Row],[VALOR TOTAL MERCADO]]-tb_investimentos[[#This Row],[VALOR TOTAL PONDERADO]],"")</f>
        <v/>
      </c>
      <c r="T275" s="58" t="str">
        <f ca="1">IFERROR(_xlfn.XLOOKUP(tb_investimentos[[#This Row],[DESCRIÇÃO]],'INFO AÇÕES'!E:E,'INFO AÇÕES'!H:H),"")</f>
        <v/>
      </c>
      <c r="U275" s="59" t="str">
        <f ca="1">IFERROR((tb_investimentos[[#This Row],[VALOR TOTAL MERCADO]]-tb_investimentos[[#This Row],[VALOR TOTAL PONDERADO]])/tb_investimentos[[#This Row],[VALOR TOTAL PONDERADO]],"")</f>
        <v/>
      </c>
    </row>
    <row r="276" spans="2:21" hidden="1" x14ac:dyDescent="0.2">
      <c r="B276" s="13" t="s">
        <v>72</v>
      </c>
      <c r="C276" s="72">
        <v>46909</v>
      </c>
      <c r="D276" s="9" t="s">
        <v>76</v>
      </c>
      <c r="E276" s="11" t="str">
        <f>IF(tb_investimentos[[#This Row],[TIPO MOVIMENTAÇÃO]]="Aporte",_xlfn.XLOOKUP(tb_investimentos[[#This Row],[DESCRIÇÃO]],'INFO AÇÕES'!E:E,'INFO AÇÕES'!I:I),"BRL")</f>
        <v>BRL</v>
      </c>
      <c r="F276" s="75" t="s">
        <v>73</v>
      </c>
      <c r="G276" s="11">
        <v>1</v>
      </c>
      <c r="H276" s="12">
        <v>8000</v>
      </c>
      <c r="I276" s="13" t="s">
        <v>107</v>
      </c>
      <c r="J276" s="51">
        <f t="shared" si="8"/>
        <v>8000</v>
      </c>
      <c r="K276" s="13" t="s">
        <v>105</v>
      </c>
      <c r="L276">
        <f>MONTH(tb_investimentos[[#This Row],[DATA]])</f>
        <v>6</v>
      </c>
      <c r="M276">
        <f>YEAR(tb_investimentos[[#This Row],[DATA]])</f>
        <v>2028</v>
      </c>
      <c r="N276">
        <f>DAY(tb_investimentos[[#This Row],[DATA]])</f>
        <v>5</v>
      </c>
      <c r="O276">
        <f t="shared" si="9"/>
        <v>7801.7948717948721</v>
      </c>
      <c r="P276">
        <f>tb_investimentos[[#This Row],[PREÇO MÉDIO PONDERADO]]*tb_investimentos[[#This Row],[QUANTIDADE]]</f>
        <v>7801.7948717948721</v>
      </c>
      <c r="Q276" s="58" t="str">
        <f ca="1">IFERROR(_xlfn.XLOOKUP(tb_investimentos[[#This Row],[DESCRIÇÃO]],tb_acoes[Símbolo do ticker],tb_acoes[Preço]),"")</f>
        <v/>
      </c>
      <c r="R276" s="58" t="str">
        <f ca="1">IFERROR(tb_investimentos[[#This Row],[QUANTIDADE]]*tb_investimentos[[#This Row],[PREÇO MERCADO]],"")</f>
        <v/>
      </c>
      <c r="S276" s="58" t="str">
        <f ca="1">IFERROR(tb_investimentos[[#This Row],[VALOR TOTAL MERCADO]]-tb_investimentos[[#This Row],[VALOR TOTAL PONDERADO]],"")</f>
        <v/>
      </c>
      <c r="T276" s="58" t="str">
        <f ca="1">IFERROR(_xlfn.XLOOKUP(tb_investimentos[[#This Row],[DESCRIÇÃO]],'INFO AÇÕES'!E:E,'INFO AÇÕES'!H:H),"")</f>
        <v/>
      </c>
      <c r="U276" s="59" t="str">
        <f ca="1">IFERROR((tb_investimentos[[#This Row],[VALOR TOTAL MERCADO]]-tb_investimentos[[#This Row],[VALOR TOTAL PONDERADO]])/tb_investimentos[[#This Row],[VALOR TOTAL PONDERADO]],"")</f>
        <v/>
      </c>
    </row>
    <row r="277" spans="2:21" hidden="1" x14ac:dyDescent="0.2">
      <c r="B277" s="13" t="s">
        <v>39</v>
      </c>
      <c r="C277" s="10">
        <v>46909</v>
      </c>
      <c r="D277" s="9"/>
      <c r="E277" s="11">
        <f ca="1">IF(tb_investimentos[[#This Row],[TIPO MOVIMENTAÇÃO]]="Aporte",_xlfn.XLOOKUP(tb_investimentos[[#This Row],[DESCRIÇÃO]],'INFO AÇÕES'!E:E,'INFO AÇÕES'!I:I),"BRL")</f>
        <v>0</v>
      </c>
      <c r="F277" s="73" t="s">
        <v>10</v>
      </c>
      <c r="G277" s="11">
        <v>1</v>
      </c>
      <c r="H277" s="12">
        <v>4000</v>
      </c>
      <c r="I277" s="13" t="s">
        <v>58</v>
      </c>
      <c r="J277" s="51">
        <f t="shared" si="8"/>
        <v>4000</v>
      </c>
      <c r="K277" s="11" t="s">
        <v>105</v>
      </c>
      <c r="L277">
        <f>MONTH(tb_investimentos[[#This Row],[DATA]])</f>
        <v>6</v>
      </c>
      <c r="M277">
        <f>YEAR(tb_investimentos[[#This Row],[DATA]])</f>
        <v>2028</v>
      </c>
      <c r="N277">
        <f>DAY(tb_investimentos[[#This Row],[DATA]])</f>
        <v>5</v>
      </c>
      <c r="O277" t="e">
        <f t="shared" si="9"/>
        <v>#DIV/0!</v>
      </c>
      <c r="P277" t="e">
        <f>tb_investimentos[[#This Row],[PREÇO MÉDIO PONDERADO]]*tb_investimentos[[#This Row],[QUANTIDADE]]</f>
        <v>#DIV/0!</v>
      </c>
      <c r="Q277" s="58" t="str">
        <f ca="1">IFERROR(_xlfn.XLOOKUP(tb_investimentos[[#This Row],[DESCRIÇÃO]],tb_acoes[Símbolo do ticker],tb_acoes[Preço]),"")</f>
        <v/>
      </c>
      <c r="R277" s="58" t="str">
        <f ca="1">IFERROR(tb_investimentos[[#This Row],[QUANTIDADE]]*tb_investimentos[[#This Row],[PREÇO MERCADO]],"")</f>
        <v/>
      </c>
      <c r="S277" s="58" t="str">
        <f ca="1">IFERROR(tb_investimentos[[#This Row],[VALOR TOTAL MERCADO]]-tb_investimentos[[#This Row],[VALOR TOTAL PONDERADO]],"")</f>
        <v/>
      </c>
      <c r="T277" s="58" t="str">
        <f ca="1">IFERROR(_xlfn.XLOOKUP(tb_investimentos[[#This Row],[DESCRIÇÃO]],'INFO AÇÕES'!E:E,'INFO AÇÕES'!H:H),"")</f>
        <v/>
      </c>
      <c r="U277" s="59" t="str">
        <f ca="1">IFERROR((tb_investimentos[[#This Row],[VALOR TOTAL MERCADO]]-tb_investimentos[[#This Row],[VALOR TOTAL PONDERADO]])/tb_investimentos[[#This Row],[VALOR TOTAL PONDERADO]],"")</f>
        <v/>
      </c>
    </row>
    <row r="278" spans="2:21" hidden="1" x14ac:dyDescent="0.2">
      <c r="B278" s="13" t="s">
        <v>77</v>
      </c>
      <c r="C278" s="10">
        <v>46919</v>
      </c>
      <c r="D278" s="9" t="s">
        <v>88</v>
      </c>
      <c r="E278" s="11" t="str">
        <f>IF(tb_investimentos[[#This Row],[TIPO MOVIMENTAÇÃO]]="Aporte",_xlfn.XLOOKUP(tb_investimentos[[#This Row],[DESCRIÇÃO]],'INFO AÇÕES'!E:E,'INFO AÇÕES'!I:I),"BRL")</f>
        <v>BRL</v>
      </c>
      <c r="F278" s="75" t="s">
        <v>91</v>
      </c>
      <c r="G278" s="11">
        <v>1</v>
      </c>
      <c r="H278" s="12">
        <v>1810.88138</v>
      </c>
      <c r="I278" s="13" t="s">
        <v>107</v>
      </c>
      <c r="J278" s="51">
        <f t="shared" si="8"/>
        <v>1810.88138</v>
      </c>
      <c r="K278" s="13" t="s">
        <v>105</v>
      </c>
      <c r="L278">
        <f>MONTH(tb_investimentos[[#This Row],[DATA]])</f>
        <v>6</v>
      </c>
      <c r="M278">
        <f>YEAR(tb_investimentos[[#This Row],[DATA]])</f>
        <v>2028</v>
      </c>
      <c r="N278">
        <f>DAY(tb_investimentos[[#This Row],[DATA]])</f>
        <v>15</v>
      </c>
      <c r="O278">
        <f t="shared" si="9"/>
        <v>1629.9930261538464</v>
      </c>
      <c r="P278">
        <f>tb_investimentos[[#This Row],[PREÇO MÉDIO PONDERADO]]*tb_investimentos[[#This Row],[QUANTIDADE]]</f>
        <v>1629.9930261538464</v>
      </c>
      <c r="Q278" s="58" t="str">
        <f ca="1">IFERROR(_xlfn.XLOOKUP(tb_investimentos[[#This Row],[DESCRIÇÃO]],tb_acoes[Símbolo do ticker],tb_acoes[Preço]),"")</f>
        <v/>
      </c>
      <c r="R278" s="58" t="str">
        <f ca="1">IFERROR(tb_investimentos[[#This Row],[QUANTIDADE]]*tb_investimentos[[#This Row],[PREÇO MERCADO]],"")</f>
        <v/>
      </c>
      <c r="S278" s="58" t="str">
        <f ca="1">IFERROR(tb_investimentos[[#This Row],[VALOR TOTAL MERCADO]]-tb_investimentos[[#This Row],[VALOR TOTAL PONDERADO]],"")</f>
        <v/>
      </c>
      <c r="T278" s="58" t="str">
        <f ca="1">IFERROR(_xlfn.XLOOKUP(tb_investimentos[[#This Row],[DESCRIÇÃO]],'INFO AÇÕES'!E:E,'INFO AÇÕES'!H:H),"")</f>
        <v/>
      </c>
      <c r="U278" s="59" t="str">
        <f ca="1">IFERROR((tb_investimentos[[#This Row],[VALOR TOTAL MERCADO]]-tb_investimentos[[#This Row],[VALOR TOTAL PONDERADO]])/tb_investimentos[[#This Row],[VALOR TOTAL PONDERADO]],"")</f>
        <v/>
      </c>
    </row>
    <row r="279" spans="2:21" hidden="1" x14ac:dyDescent="0.2">
      <c r="B279" s="13" t="s">
        <v>77</v>
      </c>
      <c r="C279" s="72">
        <v>46919</v>
      </c>
      <c r="D279" s="9" t="s">
        <v>78</v>
      </c>
      <c r="E279" s="11" t="str">
        <f>IF(tb_investimentos[[#This Row],[TIPO MOVIMENTAÇÃO]]="Aporte",_xlfn.XLOOKUP(tb_investimentos[[#This Row],[DESCRIÇÃO]],'INFO AÇÕES'!E:E,'INFO AÇÕES'!I:I),"BRL")</f>
        <v>BRL</v>
      </c>
      <c r="F279" s="75" t="s">
        <v>102</v>
      </c>
      <c r="G279" s="11">
        <v>1</v>
      </c>
      <c r="H279" s="12">
        <v>39.9</v>
      </c>
      <c r="I279" s="13" t="s">
        <v>107</v>
      </c>
      <c r="J279" s="51">
        <f t="shared" si="8"/>
        <v>39.9</v>
      </c>
      <c r="K279" s="13" t="s">
        <v>105</v>
      </c>
      <c r="L279">
        <f>MONTH(tb_investimentos[[#This Row],[DATA]])</f>
        <v>6</v>
      </c>
      <c r="M279">
        <f>YEAR(tb_investimentos[[#This Row],[DATA]])</f>
        <v>2028</v>
      </c>
      <c r="N279">
        <f>DAY(tb_investimentos[[#This Row],[DATA]])</f>
        <v>15</v>
      </c>
      <c r="O279">
        <f t="shared" si="9"/>
        <v>59.90000000000002</v>
      </c>
      <c r="P279">
        <f>tb_investimentos[[#This Row],[PREÇO MÉDIO PONDERADO]]*tb_investimentos[[#This Row],[QUANTIDADE]]</f>
        <v>59.90000000000002</v>
      </c>
      <c r="Q279" s="58" t="str">
        <f ca="1">IFERROR(_xlfn.XLOOKUP(tb_investimentos[[#This Row],[DESCRIÇÃO]],tb_acoes[Símbolo do ticker],tb_acoes[Preço]),"")</f>
        <v/>
      </c>
      <c r="R279" s="58" t="str">
        <f ca="1">IFERROR(tb_investimentos[[#This Row],[QUANTIDADE]]*tb_investimentos[[#This Row],[PREÇO MERCADO]],"")</f>
        <v/>
      </c>
      <c r="S279" s="58" t="str">
        <f ca="1">IFERROR(tb_investimentos[[#This Row],[VALOR TOTAL MERCADO]]-tb_investimentos[[#This Row],[VALOR TOTAL PONDERADO]],"")</f>
        <v/>
      </c>
      <c r="T279" s="58" t="str">
        <f ca="1">IFERROR(_xlfn.XLOOKUP(tb_investimentos[[#This Row],[DESCRIÇÃO]],'INFO AÇÕES'!E:E,'INFO AÇÕES'!H:H),"")</f>
        <v/>
      </c>
      <c r="U279" s="59" t="str">
        <f ca="1">IFERROR((tb_investimentos[[#This Row],[VALOR TOTAL MERCADO]]-tb_investimentos[[#This Row],[VALOR TOTAL PONDERADO]])/tb_investimentos[[#This Row],[VALOR TOTAL PONDERADO]],"")</f>
        <v/>
      </c>
    </row>
    <row r="280" spans="2:21" hidden="1" x14ac:dyDescent="0.2">
      <c r="B280" s="13" t="s">
        <v>77</v>
      </c>
      <c r="C280" s="72">
        <v>46919</v>
      </c>
      <c r="D280" s="9" t="s">
        <v>78</v>
      </c>
      <c r="E280" s="11" t="str">
        <f>IF(tb_investimentos[[#This Row],[TIPO MOVIMENTAÇÃO]]="Aporte",_xlfn.XLOOKUP(tb_investimentos[[#This Row],[DESCRIÇÃO]],'INFO AÇÕES'!E:E,'INFO AÇÕES'!I:I),"BRL")</f>
        <v>BRL</v>
      </c>
      <c r="F280" s="75" t="s">
        <v>101</v>
      </c>
      <c r="G280" s="11">
        <v>1</v>
      </c>
      <c r="H280" s="12">
        <v>79.900000000000006</v>
      </c>
      <c r="I280" s="13" t="s">
        <v>107</v>
      </c>
      <c r="J280" s="51">
        <f t="shared" si="8"/>
        <v>79.900000000000006</v>
      </c>
      <c r="K280" s="13" t="s">
        <v>105</v>
      </c>
      <c r="L280">
        <f>MONTH(tb_investimentos[[#This Row],[DATA]])</f>
        <v>6</v>
      </c>
      <c r="M280">
        <f>YEAR(tb_investimentos[[#This Row],[DATA]])</f>
        <v>2028</v>
      </c>
      <c r="N280">
        <f>DAY(tb_investimentos[[#This Row],[DATA]])</f>
        <v>15</v>
      </c>
      <c r="O280">
        <f t="shared" si="9"/>
        <v>59.90000000000002</v>
      </c>
      <c r="P280">
        <f>tb_investimentos[[#This Row],[PREÇO MÉDIO PONDERADO]]*tb_investimentos[[#This Row],[QUANTIDADE]]</f>
        <v>59.90000000000002</v>
      </c>
      <c r="Q280" s="58" t="str">
        <f ca="1">IFERROR(_xlfn.XLOOKUP(tb_investimentos[[#This Row],[DESCRIÇÃO]],tb_acoes[Símbolo do ticker],tb_acoes[Preço]),"")</f>
        <v/>
      </c>
      <c r="R280" s="58" t="str">
        <f ca="1">IFERROR(tb_investimentos[[#This Row],[QUANTIDADE]]*tb_investimentos[[#This Row],[PREÇO MERCADO]],"")</f>
        <v/>
      </c>
      <c r="S280" s="58" t="str">
        <f ca="1">IFERROR(tb_investimentos[[#This Row],[VALOR TOTAL MERCADO]]-tb_investimentos[[#This Row],[VALOR TOTAL PONDERADO]],"")</f>
        <v/>
      </c>
      <c r="T280" s="58" t="str">
        <f ca="1">IFERROR(_xlfn.XLOOKUP(tb_investimentos[[#This Row],[DESCRIÇÃO]],'INFO AÇÕES'!E:E,'INFO AÇÕES'!H:H),"")</f>
        <v/>
      </c>
      <c r="U280" s="59" t="str">
        <f ca="1">IFERROR((tb_investimentos[[#This Row],[VALOR TOTAL MERCADO]]-tb_investimentos[[#This Row],[VALOR TOTAL PONDERADO]])/tb_investimentos[[#This Row],[VALOR TOTAL PONDERADO]],"")</f>
        <v/>
      </c>
    </row>
    <row r="281" spans="2:21" hidden="1" x14ac:dyDescent="0.2">
      <c r="B281" s="13" t="s">
        <v>77</v>
      </c>
      <c r="C281" s="72">
        <v>46919</v>
      </c>
      <c r="D281" s="9" t="s">
        <v>79</v>
      </c>
      <c r="E281" s="11" t="str">
        <f>IF(tb_investimentos[[#This Row],[TIPO MOVIMENTAÇÃO]]="Aporte",_xlfn.XLOOKUP(tb_investimentos[[#This Row],[DESCRIÇÃO]],'INFO AÇÕES'!E:E,'INFO AÇÕES'!I:I),"BRL")</f>
        <v>BRL</v>
      </c>
      <c r="F281" s="75" t="s">
        <v>100</v>
      </c>
      <c r="G281" s="11">
        <v>1</v>
      </c>
      <c r="H281" s="12">
        <v>110</v>
      </c>
      <c r="I281" s="13" t="s">
        <v>107</v>
      </c>
      <c r="J281" s="51">
        <f t="shared" si="8"/>
        <v>110</v>
      </c>
      <c r="K281" s="13" t="s">
        <v>105</v>
      </c>
      <c r="L281">
        <f>MONTH(tb_investimentos[[#This Row],[DATA]])</f>
        <v>6</v>
      </c>
      <c r="M281">
        <f>YEAR(tb_investimentos[[#This Row],[DATA]])</f>
        <v>2028</v>
      </c>
      <c r="N281">
        <f>DAY(tb_investimentos[[#This Row],[DATA]])</f>
        <v>15</v>
      </c>
      <c r="O281">
        <f t="shared" si="9"/>
        <v>110</v>
      </c>
      <c r="P281">
        <f>tb_investimentos[[#This Row],[PREÇO MÉDIO PONDERADO]]*tb_investimentos[[#This Row],[QUANTIDADE]]</f>
        <v>110</v>
      </c>
      <c r="Q281" s="58" t="str">
        <f ca="1">IFERROR(_xlfn.XLOOKUP(tb_investimentos[[#This Row],[DESCRIÇÃO]],tb_acoes[Símbolo do ticker],tb_acoes[Preço]),"")</f>
        <v/>
      </c>
      <c r="R281" s="58" t="str">
        <f ca="1">IFERROR(tb_investimentos[[#This Row],[QUANTIDADE]]*tb_investimentos[[#This Row],[PREÇO MERCADO]],"")</f>
        <v/>
      </c>
      <c r="S281" s="58" t="str">
        <f ca="1">IFERROR(tb_investimentos[[#This Row],[VALOR TOTAL MERCADO]]-tb_investimentos[[#This Row],[VALOR TOTAL PONDERADO]],"")</f>
        <v/>
      </c>
      <c r="T281" s="58" t="str">
        <f ca="1">IFERROR(_xlfn.XLOOKUP(tb_investimentos[[#This Row],[DESCRIÇÃO]],'INFO AÇÕES'!E:E,'INFO AÇÕES'!H:H),"")</f>
        <v/>
      </c>
      <c r="U281" s="59" t="str">
        <f ca="1">IFERROR((tb_investimentos[[#This Row],[VALOR TOTAL MERCADO]]-tb_investimentos[[#This Row],[VALOR TOTAL PONDERADO]])/tb_investimentos[[#This Row],[VALOR TOTAL PONDERADO]],"")</f>
        <v/>
      </c>
    </row>
    <row r="282" spans="2:21" hidden="1" x14ac:dyDescent="0.2">
      <c r="B282" s="13" t="s">
        <v>77</v>
      </c>
      <c r="C282" s="72">
        <v>46919</v>
      </c>
      <c r="D282" s="9" t="s">
        <v>80</v>
      </c>
      <c r="E282" s="11" t="str">
        <f>IF(tb_investimentos[[#This Row],[TIPO MOVIMENTAÇÃO]]="Aporte",_xlfn.XLOOKUP(tb_investimentos[[#This Row],[DESCRIÇÃO]],'INFO AÇÕES'!E:E,'INFO AÇÕES'!I:I),"BRL")</f>
        <v>BRL</v>
      </c>
      <c r="F282" s="75" t="s">
        <v>99</v>
      </c>
      <c r="G282" s="11">
        <v>1</v>
      </c>
      <c r="H282" s="12">
        <v>25</v>
      </c>
      <c r="I282" s="13" t="s">
        <v>107</v>
      </c>
      <c r="J282" s="51">
        <f t="shared" si="8"/>
        <v>25</v>
      </c>
      <c r="K282" s="13" t="s">
        <v>105</v>
      </c>
      <c r="L282">
        <f>MONTH(tb_investimentos[[#This Row],[DATA]])</f>
        <v>6</v>
      </c>
      <c r="M282">
        <f>YEAR(tb_investimentos[[#This Row],[DATA]])</f>
        <v>2028</v>
      </c>
      <c r="N282">
        <f>DAY(tb_investimentos[[#This Row],[DATA]])</f>
        <v>15</v>
      </c>
      <c r="O282">
        <f t="shared" si="9"/>
        <v>25</v>
      </c>
      <c r="P282">
        <f>tb_investimentos[[#This Row],[PREÇO MÉDIO PONDERADO]]*tb_investimentos[[#This Row],[QUANTIDADE]]</f>
        <v>25</v>
      </c>
      <c r="Q282" s="58" t="str">
        <f ca="1">IFERROR(_xlfn.XLOOKUP(tb_investimentos[[#This Row],[DESCRIÇÃO]],tb_acoes[Símbolo do ticker],tb_acoes[Preço]),"")</f>
        <v/>
      </c>
      <c r="R282" s="58" t="str">
        <f ca="1">IFERROR(tb_investimentos[[#This Row],[QUANTIDADE]]*tb_investimentos[[#This Row],[PREÇO MERCADO]],"")</f>
        <v/>
      </c>
      <c r="S282" s="58" t="str">
        <f ca="1">IFERROR(tb_investimentos[[#This Row],[VALOR TOTAL MERCADO]]-tb_investimentos[[#This Row],[VALOR TOTAL PONDERADO]],"")</f>
        <v/>
      </c>
      <c r="T282" s="58" t="str">
        <f ca="1">IFERROR(_xlfn.XLOOKUP(tb_investimentos[[#This Row],[DESCRIÇÃO]],'INFO AÇÕES'!E:E,'INFO AÇÕES'!H:H),"")</f>
        <v/>
      </c>
      <c r="U282" s="59" t="str">
        <f ca="1">IFERROR((tb_investimentos[[#This Row],[VALOR TOTAL MERCADO]]-tb_investimentos[[#This Row],[VALOR TOTAL PONDERADO]])/tb_investimentos[[#This Row],[VALOR TOTAL PONDERADO]],"")</f>
        <v/>
      </c>
    </row>
    <row r="283" spans="2:21" hidden="1" x14ac:dyDescent="0.2">
      <c r="B283" s="13" t="s">
        <v>72</v>
      </c>
      <c r="C283" s="72">
        <v>46939</v>
      </c>
      <c r="D283" s="9" t="s">
        <v>76</v>
      </c>
      <c r="E283" s="11" t="str">
        <f>IF(tb_investimentos[[#This Row],[TIPO MOVIMENTAÇÃO]]="Aporte",_xlfn.XLOOKUP(tb_investimentos[[#This Row],[DESCRIÇÃO]],'INFO AÇÕES'!E:E,'INFO AÇÕES'!I:I),"BRL")</f>
        <v>BRL</v>
      </c>
      <c r="F283" s="75" t="s">
        <v>73</v>
      </c>
      <c r="G283" s="11">
        <v>1</v>
      </c>
      <c r="H283" s="12">
        <v>8000</v>
      </c>
      <c r="I283" s="13" t="s">
        <v>107</v>
      </c>
      <c r="J283" s="51">
        <f t="shared" si="8"/>
        <v>8000</v>
      </c>
      <c r="K283" s="13" t="s">
        <v>105</v>
      </c>
      <c r="L283">
        <f>MONTH(tb_investimentos[[#This Row],[DATA]])</f>
        <v>7</v>
      </c>
      <c r="M283">
        <f>YEAR(tb_investimentos[[#This Row],[DATA]])</f>
        <v>2028</v>
      </c>
      <c r="N283">
        <f>DAY(tb_investimentos[[#This Row],[DATA]])</f>
        <v>5</v>
      </c>
      <c r="O283">
        <f t="shared" si="9"/>
        <v>7801.7948717948721</v>
      </c>
      <c r="P283">
        <f>tb_investimentos[[#This Row],[PREÇO MÉDIO PONDERADO]]*tb_investimentos[[#This Row],[QUANTIDADE]]</f>
        <v>7801.7948717948721</v>
      </c>
      <c r="Q283" s="58" t="str">
        <f ca="1">IFERROR(_xlfn.XLOOKUP(tb_investimentos[[#This Row],[DESCRIÇÃO]],tb_acoes[Símbolo do ticker],tb_acoes[Preço]),"")</f>
        <v/>
      </c>
      <c r="R283" s="58" t="str">
        <f ca="1">IFERROR(tb_investimentos[[#This Row],[QUANTIDADE]]*tb_investimentos[[#This Row],[PREÇO MERCADO]],"")</f>
        <v/>
      </c>
      <c r="S283" s="58" t="str">
        <f ca="1">IFERROR(tb_investimentos[[#This Row],[VALOR TOTAL MERCADO]]-tb_investimentos[[#This Row],[VALOR TOTAL PONDERADO]],"")</f>
        <v/>
      </c>
      <c r="T283" s="58" t="str">
        <f ca="1">IFERROR(_xlfn.XLOOKUP(tb_investimentos[[#This Row],[DESCRIÇÃO]],'INFO AÇÕES'!E:E,'INFO AÇÕES'!H:H),"")</f>
        <v/>
      </c>
      <c r="U283" s="59" t="str">
        <f ca="1">IFERROR((tb_investimentos[[#This Row],[VALOR TOTAL MERCADO]]-tb_investimentos[[#This Row],[VALOR TOTAL PONDERADO]])/tb_investimentos[[#This Row],[VALOR TOTAL PONDERADO]],"")</f>
        <v/>
      </c>
    </row>
    <row r="284" spans="2:21" hidden="1" x14ac:dyDescent="0.2">
      <c r="B284" s="13" t="s">
        <v>39</v>
      </c>
      <c r="C284" s="10">
        <v>46939</v>
      </c>
      <c r="D284" s="9"/>
      <c r="E284" s="11">
        <f ca="1">IF(tb_investimentos[[#This Row],[TIPO MOVIMENTAÇÃO]]="Aporte",_xlfn.XLOOKUP(tb_investimentos[[#This Row],[DESCRIÇÃO]],'INFO AÇÕES'!E:E,'INFO AÇÕES'!I:I),"BRL")</f>
        <v>0</v>
      </c>
      <c r="F284" s="73" t="s">
        <v>10</v>
      </c>
      <c r="G284" s="11">
        <v>1</v>
      </c>
      <c r="H284" s="12">
        <v>4000</v>
      </c>
      <c r="I284" s="13" t="s">
        <v>58</v>
      </c>
      <c r="J284" s="51">
        <f t="shared" si="8"/>
        <v>4000</v>
      </c>
      <c r="K284" s="11" t="s">
        <v>105</v>
      </c>
      <c r="L284">
        <f>MONTH(tb_investimentos[[#This Row],[DATA]])</f>
        <v>7</v>
      </c>
      <c r="M284">
        <f>YEAR(tb_investimentos[[#This Row],[DATA]])</f>
        <v>2028</v>
      </c>
      <c r="N284">
        <f>DAY(tb_investimentos[[#This Row],[DATA]])</f>
        <v>5</v>
      </c>
      <c r="O284" t="e">
        <f t="shared" si="9"/>
        <v>#DIV/0!</v>
      </c>
      <c r="P284" t="e">
        <f>tb_investimentos[[#This Row],[PREÇO MÉDIO PONDERADO]]*tb_investimentos[[#This Row],[QUANTIDADE]]</f>
        <v>#DIV/0!</v>
      </c>
      <c r="Q284" s="58" t="str">
        <f ca="1">IFERROR(_xlfn.XLOOKUP(tb_investimentos[[#This Row],[DESCRIÇÃO]],tb_acoes[Símbolo do ticker],tb_acoes[Preço]),"")</f>
        <v/>
      </c>
      <c r="R284" s="58" t="str">
        <f ca="1">IFERROR(tb_investimentos[[#This Row],[QUANTIDADE]]*tb_investimentos[[#This Row],[PREÇO MERCADO]],"")</f>
        <v/>
      </c>
      <c r="S284" s="58" t="str">
        <f ca="1">IFERROR(tb_investimentos[[#This Row],[VALOR TOTAL MERCADO]]-tb_investimentos[[#This Row],[VALOR TOTAL PONDERADO]],"")</f>
        <v/>
      </c>
      <c r="T284" s="58" t="str">
        <f ca="1">IFERROR(_xlfn.XLOOKUP(tb_investimentos[[#This Row],[DESCRIÇÃO]],'INFO AÇÕES'!E:E,'INFO AÇÕES'!H:H),"")</f>
        <v/>
      </c>
      <c r="U284" s="59" t="str">
        <f ca="1">IFERROR((tb_investimentos[[#This Row],[VALOR TOTAL MERCADO]]-tb_investimentos[[#This Row],[VALOR TOTAL PONDERADO]])/tb_investimentos[[#This Row],[VALOR TOTAL PONDERADO]],"")</f>
        <v/>
      </c>
    </row>
    <row r="285" spans="2:21" hidden="1" x14ac:dyDescent="0.2">
      <c r="B285" s="13" t="s">
        <v>77</v>
      </c>
      <c r="C285" s="10">
        <v>46949</v>
      </c>
      <c r="D285" s="9" t="s">
        <v>88</v>
      </c>
      <c r="E285" s="11" t="str">
        <f>IF(tb_investimentos[[#This Row],[TIPO MOVIMENTAÇÃO]]="Aporte",_xlfn.XLOOKUP(tb_investimentos[[#This Row],[DESCRIÇÃO]],'INFO AÇÕES'!E:E,'INFO AÇÕES'!I:I),"BRL")</f>
        <v>BRL</v>
      </c>
      <c r="F285" s="75" t="s">
        <v>91</v>
      </c>
      <c r="G285" s="11">
        <v>1</v>
      </c>
      <c r="H285" s="12">
        <v>1836.08736</v>
      </c>
      <c r="I285" s="13" t="s">
        <v>107</v>
      </c>
      <c r="J285" s="51">
        <f t="shared" si="8"/>
        <v>1836.08736</v>
      </c>
      <c r="K285" s="13" t="s">
        <v>105</v>
      </c>
      <c r="L285">
        <f>MONTH(tb_investimentos[[#This Row],[DATA]])</f>
        <v>7</v>
      </c>
      <c r="M285">
        <f>YEAR(tb_investimentos[[#This Row],[DATA]])</f>
        <v>2028</v>
      </c>
      <c r="N285">
        <f>DAY(tb_investimentos[[#This Row],[DATA]])</f>
        <v>15</v>
      </c>
      <c r="O285">
        <f t="shared" si="9"/>
        <v>1629.9930261538464</v>
      </c>
      <c r="P285">
        <f>tb_investimentos[[#This Row],[PREÇO MÉDIO PONDERADO]]*tb_investimentos[[#This Row],[QUANTIDADE]]</f>
        <v>1629.9930261538464</v>
      </c>
      <c r="Q285" s="58" t="str">
        <f ca="1">IFERROR(_xlfn.XLOOKUP(tb_investimentos[[#This Row],[DESCRIÇÃO]],tb_acoes[Símbolo do ticker],tb_acoes[Preço]),"")</f>
        <v/>
      </c>
      <c r="R285" s="58" t="str">
        <f ca="1">IFERROR(tb_investimentos[[#This Row],[QUANTIDADE]]*tb_investimentos[[#This Row],[PREÇO MERCADO]],"")</f>
        <v/>
      </c>
      <c r="S285" s="58" t="str">
        <f ca="1">IFERROR(tb_investimentos[[#This Row],[VALOR TOTAL MERCADO]]-tb_investimentos[[#This Row],[VALOR TOTAL PONDERADO]],"")</f>
        <v/>
      </c>
      <c r="T285" s="58" t="str">
        <f ca="1">IFERROR(_xlfn.XLOOKUP(tb_investimentos[[#This Row],[DESCRIÇÃO]],'INFO AÇÕES'!E:E,'INFO AÇÕES'!H:H),"")</f>
        <v/>
      </c>
      <c r="U285" s="59" t="str">
        <f ca="1">IFERROR((tb_investimentos[[#This Row],[VALOR TOTAL MERCADO]]-tb_investimentos[[#This Row],[VALOR TOTAL PONDERADO]])/tb_investimentos[[#This Row],[VALOR TOTAL PONDERADO]],"")</f>
        <v/>
      </c>
    </row>
    <row r="286" spans="2:21" hidden="1" x14ac:dyDescent="0.2">
      <c r="B286" s="13" t="s">
        <v>77</v>
      </c>
      <c r="C286" s="72">
        <v>46949</v>
      </c>
      <c r="D286" s="9" t="s">
        <v>78</v>
      </c>
      <c r="E286" s="11" t="str">
        <f>IF(tb_investimentos[[#This Row],[TIPO MOVIMENTAÇÃO]]="Aporte",_xlfn.XLOOKUP(tb_investimentos[[#This Row],[DESCRIÇÃO]],'INFO AÇÕES'!E:E,'INFO AÇÕES'!I:I),"BRL")</f>
        <v>BRL</v>
      </c>
      <c r="F286" s="75" t="s">
        <v>102</v>
      </c>
      <c r="G286" s="11">
        <v>1</v>
      </c>
      <c r="H286" s="12">
        <v>39.9</v>
      </c>
      <c r="I286" s="13" t="s">
        <v>107</v>
      </c>
      <c r="J286" s="51">
        <f t="shared" si="8"/>
        <v>39.9</v>
      </c>
      <c r="K286" s="13" t="s">
        <v>105</v>
      </c>
      <c r="L286">
        <f>MONTH(tb_investimentos[[#This Row],[DATA]])</f>
        <v>7</v>
      </c>
      <c r="M286">
        <f>YEAR(tb_investimentos[[#This Row],[DATA]])</f>
        <v>2028</v>
      </c>
      <c r="N286">
        <f>DAY(tb_investimentos[[#This Row],[DATA]])</f>
        <v>15</v>
      </c>
      <c r="O286">
        <f t="shared" si="9"/>
        <v>59.90000000000002</v>
      </c>
      <c r="P286">
        <f>tb_investimentos[[#This Row],[PREÇO MÉDIO PONDERADO]]*tb_investimentos[[#This Row],[QUANTIDADE]]</f>
        <v>59.90000000000002</v>
      </c>
      <c r="Q286" s="58" t="str">
        <f ca="1">IFERROR(_xlfn.XLOOKUP(tb_investimentos[[#This Row],[DESCRIÇÃO]],tb_acoes[Símbolo do ticker],tb_acoes[Preço]),"")</f>
        <v/>
      </c>
      <c r="R286" s="58" t="str">
        <f ca="1">IFERROR(tb_investimentos[[#This Row],[QUANTIDADE]]*tb_investimentos[[#This Row],[PREÇO MERCADO]],"")</f>
        <v/>
      </c>
      <c r="S286" s="58" t="str">
        <f ca="1">IFERROR(tb_investimentos[[#This Row],[VALOR TOTAL MERCADO]]-tb_investimentos[[#This Row],[VALOR TOTAL PONDERADO]],"")</f>
        <v/>
      </c>
      <c r="T286" s="58" t="str">
        <f ca="1">IFERROR(_xlfn.XLOOKUP(tb_investimentos[[#This Row],[DESCRIÇÃO]],'INFO AÇÕES'!E:E,'INFO AÇÕES'!H:H),"")</f>
        <v/>
      </c>
      <c r="U286" s="59" t="str">
        <f ca="1">IFERROR((tb_investimentos[[#This Row],[VALOR TOTAL MERCADO]]-tb_investimentos[[#This Row],[VALOR TOTAL PONDERADO]])/tb_investimentos[[#This Row],[VALOR TOTAL PONDERADO]],"")</f>
        <v/>
      </c>
    </row>
    <row r="287" spans="2:21" hidden="1" x14ac:dyDescent="0.2">
      <c r="B287" s="13" t="s">
        <v>77</v>
      </c>
      <c r="C287" s="72">
        <v>46949</v>
      </c>
      <c r="D287" s="9" t="s">
        <v>78</v>
      </c>
      <c r="E287" s="11" t="str">
        <f>IF(tb_investimentos[[#This Row],[TIPO MOVIMENTAÇÃO]]="Aporte",_xlfn.XLOOKUP(tb_investimentos[[#This Row],[DESCRIÇÃO]],'INFO AÇÕES'!E:E,'INFO AÇÕES'!I:I),"BRL")</f>
        <v>BRL</v>
      </c>
      <c r="F287" s="75" t="s">
        <v>101</v>
      </c>
      <c r="G287" s="11">
        <v>1</v>
      </c>
      <c r="H287" s="12">
        <v>79.900000000000006</v>
      </c>
      <c r="I287" s="13" t="s">
        <v>107</v>
      </c>
      <c r="J287" s="51">
        <f t="shared" si="8"/>
        <v>79.900000000000006</v>
      </c>
      <c r="K287" s="13" t="s">
        <v>105</v>
      </c>
      <c r="L287">
        <f>MONTH(tb_investimentos[[#This Row],[DATA]])</f>
        <v>7</v>
      </c>
      <c r="M287">
        <f>YEAR(tb_investimentos[[#This Row],[DATA]])</f>
        <v>2028</v>
      </c>
      <c r="N287">
        <f>DAY(tb_investimentos[[#This Row],[DATA]])</f>
        <v>15</v>
      </c>
      <c r="O287">
        <f t="shared" si="9"/>
        <v>59.90000000000002</v>
      </c>
      <c r="P287">
        <f>tb_investimentos[[#This Row],[PREÇO MÉDIO PONDERADO]]*tb_investimentos[[#This Row],[QUANTIDADE]]</f>
        <v>59.90000000000002</v>
      </c>
      <c r="Q287" s="58" t="str">
        <f ca="1">IFERROR(_xlfn.XLOOKUP(tb_investimentos[[#This Row],[DESCRIÇÃO]],tb_acoes[Símbolo do ticker],tb_acoes[Preço]),"")</f>
        <v/>
      </c>
      <c r="R287" s="58" t="str">
        <f ca="1">IFERROR(tb_investimentos[[#This Row],[QUANTIDADE]]*tb_investimentos[[#This Row],[PREÇO MERCADO]],"")</f>
        <v/>
      </c>
      <c r="S287" s="58" t="str">
        <f ca="1">IFERROR(tb_investimentos[[#This Row],[VALOR TOTAL MERCADO]]-tb_investimentos[[#This Row],[VALOR TOTAL PONDERADO]],"")</f>
        <v/>
      </c>
      <c r="T287" s="58" t="str">
        <f ca="1">IFERROR(_xlfn.XLOOKUP(tb_investimentos[[#This Row],[DESCRIÇÃO]],'INFO AÇÕES'!E:E,'INFO AÇÕES'!H:H),"")</f>
        <v/>
      </c>
      <c r="U287" s="59" t="str">
        <f ca="1">IFERROR((tb_investimentos[[#This Row],[VALOR TOTAL MERCADO]]-tb_investimentos[[#This Row],[VALOR TOTAL PONDERADO]])/tb_investimentos[[#This Row],[VALOR TOTAL PONDERADO]],"")</f>
        <v/>
      </c>
    </row>
    <row r="288" spans="2:21" hidden="1" x14ac:dyDescent="0.2">
      <c r="B288" s="13" t="s">
        <v>77</v>
      </c>
      <c r="C288" s="72">
        <v>46949</v>
      </c>
      <c r="D288" s="9" t="s">
        <v>79</v>
      </c>
      <c r="E288" s="11" t="str">
        <f>IF(tb_investimentos[[#This Row],[TIPO MOVIMENTAÇÃO]]="Aporte",_xlfn.XLOOKUP(tb_investimentos[[#This Row],[DESCRIÇÃO]],'INFO AÇÕES'!E:E,'INFO AÇÕES'!I:I),"BRL")</f>
        <v>BRL</v>
      </c>
      <c r="F288" s="75" t="s">
        <v>100</v>
      </c>
      <c r="G288" s="11">
        <v>1</v>
      </c>
      <c r="H288" s="12">
        <v>110</v>
      </c>
      <c r="I288" s="13" t="s">
        <v>107</v>
      </c>
      <c r="J288" s="51">
        <f t="shared" si="8"/>
        <v>110</v>
      </c>
      <c r="K288" s="13" t="s">
        <v>105</v>
      </c>
      <c r="L288">
        <f>MONTH(tb_investimentos[[#This Row],[DATA]])</f>
        <v>7</v>
      </c>
      <c r="M288">
        <f>YEAR(tb_investimentos[[#This Row],[DATA]])</f>
        <v>2028</v>
      </c>
      <c r="N288">
        <f>DAY(tb_investimentos[[#This Row],[DATA]])</f>
        <v>15</v>
      </c>
      <c r="O288">
        <f t="shared" si="9"/>
        <v>110</v>
      </c>
      <c r="P288">
        <f>tb_investimentos[[#This Row],[PREÇO MÉDIO PONDERADO]]*tb_investimentos[[#This Row],[QUANTIDADE]]</f>
        <v>110</v>
      </c>
      <c r="Q288" s="58" t="str">
        <f ca="1">IFERROR(_xlfn.XLOOKUP(tb_investimentos[[#This Row],[DESCRIÇÃO]],tb_acoes[Símbolo do ticker],tb_acoes[Preço]),"")</f>
        <v/>
      </c>
      <c r="R288" s="58" t="str">
        <f ca="1">IFERROR(tb_investimentos[[#This Row],[QUANTIDADE]]*tb_investimentos[[#This Row],[PREÇO MERCADO]],"")</f>
        <v/>
      </c>
      <c r="S288" s="58" t="str">
        <f ca="1">IFERROR(tb_investimentos[[#This Row],[VALOR TOTAL MERCADO]]-tb_investimentos[[#This Row],[VALOR TOTAL PONDERADO]],"")</f>
        <v/>
      </c>
      <c r="T288" s="58" t="str">
        <f ca="1">IFERROR(_xlfn.XLOOKUP(tb_investimentos[[#This Row],[DESCRIÇÃO]],'INFO AÇÕES'!E:E,'INFO AÇÕES'!H:H),"")</f>
        <v/>
      </c>
      <c r="U288" s="59" t="str">
        <f ca="1">IFERROR((tb_investimentos[[#This Row],[VALOR TOTAL MERCADO]]-tb_investimentos[[#This Row],[VALOR TOTAL PONDERADO]])/tb_investimentos[[#This Row],[VALOR TOTAL PONDERADO]],"")</f>
        <v/>
      </c>
    </row>
    <row r="289" spans="2:21" hidden="1" x14ac:dyDescent="0.2">
      <c r="B289" s="13" t="s">
        <v>77</v>
      </c>
      <c r="C289" s="72">
        <v>46949</v>
      </c>
      <c r="D289" s="9" t="s">
        <v>80</v>
      </c>
      <c r="E289" s="11" t="str">
        <f>IF(tb_investimentos[[#This Row],[TIPO MOVIMENTAÇÃO]]="Aporte",_xlfn.XLOOKUP(tb_investimentos[[#This Row],[DESCRIÇÃO]],'INFO AÇÕES'!E:E,'INFO AÇÕES'!I:I),"BRL")</f>
        <v>BRL</v>
      </c>
      <c r="F289" s="75" t="s">
        <v>99</v>
      </c>
      <c r="G289" s="11">
        <v>1</v>
      </c>
      <c r="H289" s="12">
        <v>25</v>
      </c>
      <c r="I289" s="13" t="s">
        <v>107</v>
      </c>
      <c r="J289" s="51">
        <f t="shared" si="8"/>
        <v>25</v>
      </c>
      <c r="K289" s="13" t="s">
        <v>105</v>
      </c>
      <c r="L289">
        <f>MONTH(tb_investimentos[[#This Row],[DATA]])</f>
        <v>7</v>
      </c>
      <c r="M289">
        <f>YEAR(tb_investimentos[[#This Row],[DATA]])</f>
        <v>2028</v>
      </c>
      <c r="N289">
        <f>DAY(tb_investimentos[[#This Row],[DATA]])</f>
        <v>15</v>
      </c>
      <c r="O289">
        <f t="shared" si="9"/>
        <v>25</v>
      </c>
      <c r="P289">
        <f>tb_investimentos[[#This Row],[PREÇO MÉDIO PONDERADO]]*tb_investimentos[[#This Row],[QUANTIDADE]]</f>
        <v>25</v>
      </c>
      <c r="Q289" s="58" t="str">
        <f ca="1">IFERROR(_xlfn.XLOOKUP(tb_investimentos[[#This Row],[DESCRIÇÃO]],tb_acoes[Símbolo do ticker],tb_acoes[Preço]),"")</f>
        <v/>
      </c>
      <c r="R289" s="58" t="str">
        <f ca="1">IFERROR(tb_investimentos[[#This Row],[QUANTIDADE]]*tb_investimentos[[#This Row],[PREÇO MERCADO]],"")</f>
        <v/>
      </c>
      <c r="S289" s="58" t="str">
        <f ca="1">IFERROR(tb_investimentos[[#This Row],[VALOR TOTAL MERCADO]]-tb_investimentos[[#This Row],[VALOR TOTAL PONDERADO]],"")</f>
        <v/>
      </c>
      <c r="T289" s="58" t="str">
        <f ca="1">IFERROR(_xlfn.XLOOKUP(tb_investimentos[[#This Row],[DESCRIÇÃO]],'INFO AÇÕES'!E:E,'INFO AÇÕES'!H:H),"")</f>
        <v/>
      </c>
      <c r="U289" s="59" t="str">
        <f ca="1">IFERROR((tb_investimentos[[#This Row],[VALOR TOTAL MERCADO]]-tb_investimentos[[#This Row],[VALOR TOTAL PONDERADO]])/tb_investimentos[[#This Row],[VALOR TOTAL PONDERADO]],"")</f>
        <v/>
      </c>
    </row>
    <row r="290" spans="2:21" hidden="1" x14ac:dyDescent="0.2">
      <c r="B290" s="13" t="s">
        <v>72</v>
      </c>
      <c r="C290" s="72">
        <v>46970</v>
      </c>
      <c r="D290" s="9" t="s">
        <v>76</v>
      </c>
      <c r="E290" s="11" t="str">
        <f>IF(tb_investimentos[[#This Row],[TIPO MOVIMENTAÇÃO]]="Aporte",_xlfn.XLOOKUP(tb_investimentos[[#This Row],[DESCRIÇÃO]],'INFO AÇÕES'!E:E,'INFO AÇÕES'!I:I),"BRL")</f>
        <v>BRL</v>
      </c>
      <c r="F290" s="75" t="s">
        <v>73</v>
      </c>
      <c r="G290" s="11">
        <v>1</v>
      </c>
      <c r="H290" s="12">
        <v>8000</v>
      </c>
      <c r="I290" s="13" t="s">
        <v>107</v>
      </c>
      <c r="J290" s="51">
        <f t="shared" si="8"/>
        <v>8000</v>
      </c>
      <c r="K290" s="13" t="s">
        <v>105</v>
      </c>
      <c r="L290">
        <f>MONTH(tb_investimentos[[#This Row],[DATA]])</f>
        <v>8</v>
      </c>
      <c r="M290">
        <f>YEAR(tb_investimentos[[#This Row],[DATA]])</f>
        <v>2028</v>
      </c>
      <c r="N290">
        <f>DAY(tb_investimentos[[#This Row],[DATA]])</f>
        <v>5</v>
      </c>
      <c r="O290">
        <f t="shared" si="9"/>
        <v>7801.7948717948721</v>
      </c>
      <c r="P290">
        <f>tb_investimentos[[#This Row],[PREÇO MÉDIO PONDERADO]]*tb_investimentos[[#This Row],[QUANTIDADE]]</f>
        <v>7801.7948717948721</v>
      </c>
      <c r="Q290" s="58" t="str">
        <f ca="1">IFERROR(_xlfn.XLOOKUP(tb_investimentos[[#This Row],[DESCRIÇÃO]],tb_acoes[Símbolo do ticker],tb_acoes[Preço]),"")</f>
        <v/>
      </c>
      <c r="R290" s="58" t="str">
        <f ca="1">IFERROR(tb_investimentos[[#This Row],[QUANTIDADE]]*tb_investimentos[[#This Row],[PREÇO MERCADO]],"")</f>
        <v/>
      </c>
      <c r="S290" s="58" t="str">
        <f ca="1">IFERROR(tb_investimentos[[#This Row],[VALOR TOTAL MERCADO]]-tb_investimentos[[#This Row],[VALOR TOTAL PONDERADO]],"")</f>
        <v/>
      </c>
      <c r="T290" s="58" t="str">
        <f ca="1">IFERROR(_xlfn.XLOOKUP(tb_investimentos[[#This Row],[DESCRIÇÃO]],'INFO AÇÕES'!E:E,'INFO AÇÕES'!H:H),"")</f>
        <v/>
      </c>
      <c r="U290" s="59" t="str">
        <f ca="1">IFERROR((tb_investimentos[[#This Row],[VALOR TOTAL MERCADO]]-tb_investimentos[[#This Row],[VALOR TOTAL PONDERADO]])/tb_investimentos[[#This Row],[VALOR TOTAL PONDERADO]],"")</f>
        <v/>
      </c>
    </row>
    <row r="291" spans="2:21" hidden="1" x14ac:dyDescent="0.2">
      <c r="B291" s="13" t="s">
        <v>39</v>
      </c>
      <c r="C291" s="10">
        <v>46970</v>
      </c>
      <c r="D291" s="9"/>
      <c r="E291" s="11">
        <f ca="1">IF(tb_investimentos[[#This Row],[TIPO MOVIMENTAÇÃO]]="Aporte",_xlfn.XLOOKUP(tb_investimentos[[#This Row],[DESCRIÇÃO]],'INFO AÇÕES'!E:E,'INFO AÇÕES'!I:I),"BRL")</f>
        <v>0</v>
      </c>
      <c r="F291" s="73" t="s">
        <v>10</v>
      </c>
      <c r="G291" s="11">
        <v>1</v>
      </c>
      <c r="H291" s="12">
        <v>4000</v>
      </c>
      <c r="I291" s="13" t="s">
        <v>58</v>
      </c>
      <c r="J291" s="51">
        <f t="shared" si="8"/>
        <v>4000</v>
      </c>
      <c r="K291" s="11" t="s">
        <v>105</v>
      </c>
      <c r="L291">
        <f>MONTH(tb_investimentos[[#This Row],[DATA]])</f>
        <v>8</v>
      </c>
      <c r="M291">
        <f>YEAR(tb_investimentos[[#This Row],[DATA]])</f>
        <v>2028</v>
      </c>
      <c r="N291">
        <f>DAY(tb_investimentos[[#This Row],[DATA]])</f>
        <v>5</v>
      </c>
      <c r="O291" t="e">
        <f t="shared" si="9"/>
        <v>#DIV/0!</v>
      </c>
      <c r="P291" t="e">
        <f>tb_investimentos[[#This Row],[PREÇO MÉDIO PONDERADO]]*tb_investimentos[[#This Row],[QUANTIDADE]]</f>
        <v>#DIV/0!</v>
      </c>
      <c r="Q291" s="58" t="str">
        <f ca="1">IFERROR(_xlfn.XLOOKUP(tb_investimentos[[#This Row],[DESCRIÇÃO]],tb_acoes[Símbolo do ticker],tb_acoes[Preço]),"")</f>
        <v/>
      </c>
      <c r="R291" s="58" t="str">
        <f ca="1">IFERROR(tb_investimentos[[#This Row],[QUANTIDADE]]*tb_investimentos[[#This Row],[PREÇO MERCADO]],"")</f>
        <v/>
      </c>
      <c r="S291" s="58" t="str">
        <f ca="1">IFERROR(tb_investimentos[[#This Row],[VALOR TOTAL MERCADO]]-tb_investimentos[[#This Row],[VALOR TOTAL PONDERADO]],"")</f>
        <v/>
      </c>
      <c r="T291" s="58" t="str">
        <f ca="1">IFERROR(_xlfn.XLOOKUP(tb_investimentos[[#This Row],[DESCRIÇÃO]],'INFO AÇÕES'!E:E,'INFO AÇÕES'!H:H),"")</f>
        <v/>
      </c>
      <c r="U291" s="59" t="str">
        <f ca="1">IFERROR((tb_investimentos[[#This Row],[VALOR TOTAL MERCADO]]-tb_investimentos[[#This Row],[VALOR TOTAL PONDERADO]])/tb_investimentos[[#This Row],[VALOR TOTAL PONDERADO]],"")</f>
        <v/>
      </c>
    </row>
    <row r="292" spans="2:21" hidden="1" x14ac:dyDescent="0.2">
      <c r="B292" s="13" t="s">
        <v>77</v>
      </c>
      <c r="C292" s="10">
        <v>46980</v>
      </c>
      <c r="D292" s="9" t="s">
        <v>88</v>
      </c>
      <c r="E292" s="11" t="str">
        <f>IF(tb_investimentos[[#This Row],[TIPO MOVIMENTAÇÃO]]="Aporte",_xlfn.XLOOKUP(tb_investimentos[[#This Row],[DESCRIÇÃO]],'INFO AÇÕES'!E:E,'INFO AÇÕES'!I:I),"BRL")</f>
        <v>BRL</v>
      </c>
      <c r="F292" s="75" t="s">
        <v>91</v>
      </c>
      <c r="G292" s="11">
        <v>1</v>
      </c>
      <c r="H292" s="12">
        <v>1856.08736</v>
      </c>
      <c r="I292" s="13" t="s">
        <v>107</v>
      </c>
      <c r="J292" s="51">
        <f t="shared" si="8"/>
        <v>1856.08736</v>
      </c>
      <c r="K292" s="13" t="s">
        <v>105</v>
      </c>
      <c r="L292">
        <f>MONTH(tb_investimentos[[#This Row],[DATA]])</f>
        <v>8</v>
      </c>
      <c r="M292">
        <f>YEAR(tb_investimentos[[#This Row],[DATA]])</f>
        <v>2028</v>
      </c>
      <c r="N292">
        <f>DAY(tb_investimentos[[#This Row],[DATA]])</f>
        <v>15</v>
      </c>
      <c r="O292">
        <f t="shared" si="9"/>
        <v>1629.9930261538464</v>
      </c>
      <c r="P292">
        <f>tb_investimentos[[#This Row],[PREÇO MÉDIO PONDERADO]]*tb_investimentos[[#This Row],[QUANTIDADE]]</f>
        <v>1629.9930261538464</v>
      </c>
      <c r="Q292" s="58" t="str">
        <f ca="1">IFERROR(_xlfn.XLOOKUP(tb_investimentos[[#This Row],[DESCRIÇÃO]],tb_acoes[Símbolo do ticker],tb_acoes[Preço]),"")</f>
        <v/>
      </c>
      <c r="R292" s="58" t="str">
        <f ca="1">IFERROR(tb_investimentos[[#This Row],[QUANTIDADE]]*tb_investimentos[[#This Row],[PREÇO MERCADO]],"")</f>
        <v/>
      </c>
      <c r="S292" s="58" t="str">
        <f ca="1">IFERROR(tb_investimentos[[#This Row],[VALOR TOTAL MERCADO]]-tb_investimentos[[#This Row],[VALOR TOTAL PONDERADO]],"")</f>
        <v/>
      </c>
      <c r="T292" s="58" t="str">
        <f ca="1">IFERROR(_xlfn.XLOOKUP(tb_investimentos[[#This Row],[DESCRIÇÃO]],'INFO AÇÕES'!E:E,'INFO AÇÕES'!H:H),"")</f>
        <v/>
      </c>
      <c r="U292" s="59" t="str">
        <f ca="1">IFERROR((tb_investimentos[[#This Row],[VALOR TOTAL MERCADO]]-tb_investimentos[[#This Row],[VALOR TOTAL PONDERADO]])/tb_investimentos[[#This Row],[VALOR TOTAL PONDERADO]],"")</f>
        <v/>
      </c>
    </row>
    <row r="293" spans="2:21" hidden="1" x14ac:dyDescent="0.2">
      <c r="B293" s="13" t="s">
        <v>77</v>
      </c>
      <c r="C293" s="72">
        <v>46980</v>
      </c>
      <c r="D293" s="9" t="s">
        <v>78</v>
      </c>
      <c r="E293" s="11" t="str">
        <f>IF(tb_investimentos[[#This Row],[TIPO MOVIMENTAÇÃO]]="Aporte",_xlfn.XLOOKUP(tb_investimentos[[#This Row],[DESCRIÇÃO]],'INFO AÇÕES'!E:E,'INFO AÇÕES'!I:I),"BRL")</f>
        <v>BRL</v>
      </c>
      <c r="F293" s="75" t="s">
        <v>102</v>
      </c>
      <c r="G293" s="11">
        <v>1</v>
      </c>
      <c r="H293" s="12">
        <v>39.9</v>
      </c>
      <c r="I293" s="13" t="s">
        <v>107</v>
      </c>
      <c r="J293" s="51">
        <f t="shared" si="8"/>
        <v>39.9</v>
      </c>
      <c r="K293" s="13" t="s">
        <v>105</v>
      </c>
      <c r="L293">
        <f>MONTH(tb_investimentos[[#This Row],[DATA]])</f>
        <v>8</v>
      </c>
      <c r="M293">
        <f>YEAR(tb_investimentos[[#This Row],[DATA]])</f>
        <v>2028</v>
      </c>
      <c r="N293">
        <f>DAY(tb_investimentos[[#This Row],[DATA]])</f>
        <v>15</v>
      </c>
      <c r="O293">
        <f t="shared" si="9"/>
        <v>59.90000000000002</v>
      </c>
      <c r="P293">
        <f>tb_investimentos[[#This Row],[PREÇO MÉDIO PONDERADO]]*tb_investimentos[[#This Row],[QUANTIDADE]]</f>
        <v>59.90000000000002</v>
      </c>
      <c r="Q293" s="58" t="str">
        <f ca="1">IFERROR(_xlfn.XLOOKUP(tb_investimentos[[#This Row],[DESCRIÇÃO]],tb_acoes[Símbolo do ticker],tb_acoes[Preço]),"")</f>
        <v/>
      </c>
      <c r="R293" s="58" t="str">
        <f ca="1">IFERROR(tb_investimentos[[#This Row],[QUANTIDADE]]*tb_investimentos[[#This Row],[PREÇO MERCADO]],"")</f>
        <v/>
      </c>
      <c r="S293" s="58" t="str">
        <f ca="1">IFERROR(tb_investimentos[[#This Row],[VALOR TOTAL MERCADO]]-tb_investimentos[[#This Row],[VALOR TOTAL PONDERADO]],"")</f>
        <v/>
      </c>
      <c r="T293" s="58" t="str">
        <f ca="1">IFERROR(_xlfn.XLOOKUP(tb_investimentos[[#This Row],[DESCRIÇÃO]],'INFO AÇÕES'!E:E,'INFO AÇÕES'!H:H),"")</f>
        <v/>
      </c>
      <c r="U293" s="59" t="str">
        <f ca="1">IFERROR((tb_investimentos[[#This Row],[VALOR TOTAL MERCADO]]-tb_investimentos[[#This Row],[VALOR TOTAL PONDERADO]])/tb_investimentos[[#This Row],[VALOR TOTAL PONDERADO]],"")</f>
        <v/>
      </c>
    </row>
    <row r="294" spans="2:21" hidden="1" x14ac:dyDescent="0.2">
      <c r="B294" s="13" t="s">
        <v>77</v>
      </c>
      <c r="C294" s="72">
        <v>46980</v>
      </c>
      <c r="D294" s="9" t="s">
        <v>78</v>
      </c>
      <c r="E294" s="11" t="str">
        <f>IF(tb_investimentos[[#This Row],[TIPO MOVIMENTAÇÃO]]="Aporte",_xlfn.XLOOKUP(tb_investimentos[[#This Row],[DESCRIÇÃO]],'INFO AÇÕES'!E:E,'INFO AÇÕES'!I:I),"BRL")</f>
        <v>BRL</v>
      </c>
      <c r="F294" s="75" t="s">
        <v>101</v>
      </c>
      <c r="G294" s="11">
        <v>1</v>
      </c>
      <c r="H294" s="12">
        <v>79.900000000000006</v>
      </c>
      <c r="I294" s="13" t="s">
        <v>107</v>
      </c>
      <c r="J294" s="51">
        <f t="shared" si="8"/>
        <v>79.900000000000006</v>
      </c>
      <c r="K294" s="13" t="s">
        <v>105</v>
      </c>
      <c r="L294">
        <f>MONTH(tb_investimentos[[#This Row],[DATA]])</f>
        <v>8</v>
      </c>
      <c r="M294">
        <f>YEAR(tb_investimentos[[#This Row],[DATA]])</f>
        <v>2028</v>
      </c>
      <c r="N294">
        <f>DAY(tb_investimentos[[#This Row],[DATA]])</f>
        <v>15</v>
      </c>
      <c r="O294">
        <f t="shared" si="9"/>
        <v>59.90000000000002</v>
      </c>
      <c r="P294">
        <f>tb_investimentos[[#This Row],[PREÇO MÉDIO PONDERADO]]*tb_investimentos[[#This Row],[QUANTIDADE]]</f>
        <v>59.90000000000002</v>
      </c>
      <c r="Q294" s="58" t="str">
        <f ca="1">IFERROR(_xlfn.XLOOKUP(tb_investimentos[[#This Row],[DESCRIÇÃO]],tb_acoes[Símbolo do ticker],tb_acoes[Preço]),"")</f>
        <v/>
      </c>
      <c r="R294" s="58" t="str">
        <f ca="1">IFERROR(tb_investimentos[[#This Row],[QUANTIDADE]]*tb_investimentos[[#This Row],[PREÇO MERCADO]],"")</f>
        <v/>
      </c>
      <c r="S294" s="58" t="str">
        <f ca="1">IFERROR(tb_investimentos[[#This Row],[VALOR TOTAL MERCADO]]-tb_investimentos[[#This Row],[VALOR TOTAL PONDERADO]],"")</f>
        <v/>
      </c>
      <c r="T294" s="58" t="str">
        <f ca="1">IFERROR(_xlfn.XLOOKUP(tb_investimentos[[#This Row],[DESCRIÇÃO]],'INFO AÇÕES'!E:E,'INFO AÇÕES'!H:H),"")</f>
        <v/>
      </c>
      <c r="U294" s="59" t="str">
        <f ca="1">IFERROR((tb_investimentos[[#This Row],[VALOR TOTAL MERCADO]]-tb_investimentos[[#This Row],[VALOR TOTAL PONDERADO]])/tb_investimentos[[#This Row],[VALOR TOTAL PONDERADO]],"")</f>
        <v/>
      </c>
    </row>
    <row r="295" spans="2:21" hidden="1" x14ac:dyDescent="0.2">
      <c r="B295" s="13" t="s">
        <v>77</v>
      </c>
      <c r="C295" s="72">
        <v>46980</v>
      </c>
      <c r="D295" s="9" t="s">
        <v>79</v>
      </c>
      <c r="E295" s="11" t="str">
        <f>IF(tb_investimentos[[#This Row],[TIPO MOVIMENTAÇÃO]]="Aporte",_xlfn.XLOOKUP(tb_investimentos[[#This Row],[DESCRIÇÃO]],'INFO AÇÕES'!E:E,'INFO AÇÕES'!I:I),"BRL")</f>
        <v>BRL</v>
      </c>
      <c r="F295" s="75" t="s">
        <v>100</v>
      </c>
      <c r="G295" s="11">
        <v>1</v>
      </c>
      <c r="H295" s="12">
        <v>110</v>
      </c>
      <c r="I295" s="13" t="s">
        <v>107</v>
      </c>
      <c r="J295" s="51">
        <f t="shared" si="8"/>
        <v>110</v>
      </c>
      <c r="K295" s="13" t="s">
        <v>105</v>
      </c>
      <c r="L295">
        <f>MONTH(tb_investimentos[[#This Row],[DATA]])</f>
        <v>8</v>
      </c>
      <c r="M295">
        <f>YEAR(tb_investimentos[[#This Row],[DATA]])</f>
        <v>2028</v>
      </c>
      <c r="N295">
        <f>DAY(tb_investimentos[[#This Row],[DATA]])</f>
        <v>15</v>
      </c>
      <c r="O295">
        <f t="shared" si="9"/>
        <v>110</v>
      </c>
      <c r="P295">
        <f>tb_investimentos[[#This Row],[PREÇO MÉDIO PONDERADO]]*tb_investimentos[[#This Row],[QUANTIDADE]]</f>
        <v>110</v>
      </c>
      <c r="Q295" s="58" t="str">
        <f ca="1">IFERROR(_xlfn.XLOOKUP(tb_investimentos[[#This Row],[DESCRIÇÃO]],tb_acoes[Símbolo do ticker],tb_acoes[Preço]),"")</f>
        <v/>
      </c>
      <c r="R295" s="58" t="str">
        <f ca="1">IFERROR(tb_investimentos[[#This Row],[QUANTIDADE]]*tb_investimentos[[#This Row],[PREÇO MERCADO]],"")</f>
        <v/>
      </c>
      <c r="S295" s="58" t="str">
        <f ca="1">IFERROR(tb_investimentos[[#This Row],[VALOR TOTAL MERCADO]]-tb_investimentos[[#This Row],[VALOR TOTAL PONDERADO]],"")</f>
        <v/>
      </c>
      <c r="T295" s="58" t="str">
        <f ca="1">IFERROR(_xlfn.XLOOKUP(tb_investimentos[[#This Row],[DESCRIÇÃO]],'INFO AÇÕES'!E:E,'INFO AÇÕES'!H:H),"")</f>
        <v/>
      </c>
      <c r="U295" s="59" t="str">
        <f ca="1">IFERROR((tb_investimentos[[#This Row],[VALOR TOTAL MERCADO]]-tb_investimentos[[#This Row],[VALOR TOTAL PONDERADO]])/tb_investimentos[[#This Row],[VALOR TOTAL PONDERADO]],"")</f>
        <v/>
      </c>
    </row>
    <row r="296" spans="2:21" hidden="1" x14ac:dyDescent="0.2">
      <c r="B296" s="13" t="s">
        <v>77</v>
      </c>
      <c r="C296" s="72">
        <v>46980</v>
      </c>
      <c r="D296" s="9" t="s">
        <v>80</v>
      </c>
      <c r="E296" s="11" t="str">
        <f>IF(tb_investimentos[[#This Row],[TIPO MOVIMENTAÇÃO]]="Aporte",_xlfn.XLOOKUP(tb_investimentos[[#This Row],[DESCRIÇÃO]],'INFO AÇÕES'!E:E,'INFO AÇÕES'!I:I),"BRL")</f>
        <v>BRL</v>
      </c>
      <c r="F296" s="75" t="s">
        <v>99</v>
      </c>
      <c r="G296" s="11">
        <v>1</v>
      </c>
      <c r="H296" s="12">
        <v>25</v>
      </c>
      <c r="I296" s="13" t="s">
        <v>107</v>
      </c>
      <c r="J296" s="51">
        <f t="shared" si="8"/>
        <v>25</v>
      </c>
      <c r="K296" s="13" t="s">
        <v>105</v>
      </c>
      <c r="L296">
        <f>MONTH(tb_investimentos[[#This Row],[DATA]])</f>
        <v>8</v>
      </c>
      <c r="M296">
        <f>YEAR(tb_investimentos[[#This Row],[DATA]])</f>
        <v>2028</v>
      </c>
      <c r="N296">
        <f>DAY(tb_investimentos[[#This Row],[DATA]])</f>
        <v>15</v>
      </c>
      <c r="O296">
        <f t="shared" si="9"/>
        <v>25</v>
      </c>
      <c r="P296">
        <f>tb_investimentos[[#This Row],[PREÇO MÉDIO PONDERADO]]*tb_investimentos[[#This Row],[QUANTIDADE]]</f>
        <v>25</v>
      </c>
      <c r="Q296" s="58" t="str">
        <f ca="1">IFERROR(_xlfn.XLOOKUP(tb_investimentos[[#This Row],[DESCRIÇÃO]],tb_acoes[Símbolo do ticker],tb_acoes[Preço]),"")</f>
        <v/>
      </c>
      <c r="R296" s="58" t="str">
        <f ca="1">IFERROR(tb_investimentos[[#This Row],[QUANTIDADE]]*tb_investimentos[[#This Row],[PREÇO MERCADO]],"")</f>
        <v/>
      </c>
      <c r="S296" s="58" t="str">
        <f ca="1">IFERROR(tb_investimentos[[#This Row],[VALOR TOTAL MERCADO]]-tb_investimentos[[#This Row],[VALOR TOTAL PONDERADO]],"")</f>
        <v/>
      </c>
      <c r="T296" s="58" t="str">
        <f ca="1">IFERROR(_xlfn.XLOOKUP(tb_investimentos[[#This Row],[DESCRIÇÃO]],'INFO AÇÕES'!E:E,'INFO AÇÕES'!H:H),"")</f>
        <v/>
      </c>
      <c r="U296" s="59" t="str">
        <f ca="1">IFERROR((tb_investimentos[[#This Row],[VALOR TOTAL MERCADO]]-tb_investimentos[[#This Row],[VALOR TOTAL PONDERADO]])/tb_investimentos[[#This Row],[VALOR TOTAL PONDERADO]],"")</f>
        <v/>
      </c>
    </row>
    <row r="297" spans="2:21" hidden="1" x14ac:dyDescent="0.2">
      <c r="B297" s="13" t="s">
        <v>72</v>
      </c>
      <c r="C297" s="72">
        <v>47001</v>
      </c>
      <c r="D297" s="9" t="s">
        <v>76</v>
      </c>
      <c r="E297" s="11" t="str">
        <f>IF(tb_investimentos[[#This Row],[TIPO MOVIMENTAÇÃO]]="Aporte",_xlfn.XLOOKUP(tb_investimentos[[#This Row],[DESCRIÇÃO]],'INFO AÇÕES'!E:E,'INFO AÇÕES'!I:I),"BRL")</f>
        <v>BRL</v>
      </c>
      <c r="F297" s="75" t="s">
        <v>73</v>
      </c>
      <c r="G297" s="11">
        <v>1</v>
      </c>
      <c r="H297" s="12">
        <v>8000</v>
      </c>
      <c r="I297" s="13" t="s">
        <v>107</v>
      </c>
      <c r="J297" s="51">
        <f t="shared" si="8"/>
        <v>8000</v>
      </c>
      <c r="K297" s="13" t="s">
        <v>105</v>
      </c>
      <c r="L297">
        <f>MONTH(tb_investimentos[[#This Row],[DATA]])</f>
        <v>9</v>
      </c>
      <c r="M297">
        <f>YEAR(tb_investimentos[[#This Row],[DATA]])</f>
        <v>2028</v>
      </c>
      <c r="N297">
        <f>DAY(tb_investimentos[[#This Row],[DATA]])</f>
        <v>5</v>
      </c>
      <c r="O297">
        <f t="shared" si="9"/>
        <v>7801.7948717948721</v>
      </c>
      <c r="P297">
        <f>tb_investimentos[[#This Row],[PREÇO MÉDIO PONDERADO]]*tb_investimentos[[#This Row],[QUANTIDADE]]</f>
        <v>7801.7948717948721</v>
      </c>
      <c r="Q297" s="58" t="str">
        <f ca="1">IFERROR(_xlfn.XLOOKUP(tb_investimentos[[#This Row],[DESCRIÇÃO]],tb_acoes[Símbolo do ticker],tb_acoes[Preço]),"")</f>
        <v/>
      </c>
      <c r="R297" s="58" t="str">
        <f ca="1">IFERROR(tb_investimentos[[#This Row],[QUANTIDADE]]*tb_investimentos[[#This Row],[PREÇO MERCADO]],"")</f>
        <v/>
      </c>
      <c r="S297" s="58" t="str">
        <f ca="1">IFERROR(tb_investimentos[[#This Row],[VALOR TOTAL MERCADO]]-tb_investimentos[[#This Row],[VALOR TOTAL PONDERADO]],"")</f>
        <v/>
      </c>
      <c r="T297" s="58" t="str">
        <f ca="1">IFERROR(_xlfn.XLOOKUP(tb_investimentos[[#This Row],[DESCRIÇÃO]],'INFO AÇÕES'!E:E,'INFO AÇÕES'!H:H),"")</f>
        <v/>
      </c>
      <c r="U297" s="59" t="str">
        <f ca="1">IFERROR((tb_investimentos[[#This Row],[VALOR TOTAL MERCADO]]-tb_investimentos[[#This Row],[VALOR TOTAL PONDERADO]])/tb_investimentos[[#This Row],[VALOR TOTAL PONDERADO]],"")</f>
        <v/>
      </c>
    </row>
    <row r="298" spans="2:21" hidden="1" x14ac:dyDescent="0.2">
      <c r="B298" s="13" t="s">
        <v>39</v>
      </c>
      <c r="C298" s="10">
        <v>47001</v>
      </c>
      <c r="D298" s="9"/>
      <c r="E298" s="11">
        <f ca="1">IF(tb_investimentos[[#This Row],[TIPO MOVIMENTAÇÃO]]="Aporte",_xlfn.XLOOKUP(tb_investimentos[[#This Row],[DESCRIÇÃO]],'INFO AÇÕES'!E:E,'INFO AÇÕES'!I:I),"BRL")</f>
        <v>0</v>
      </c>
      <c r="F298" s="73" t="s">
        <v>10</v>
      </c>
      <c r="G298" s="11">
        <v>1</v>
      </c>
      <c r="H298" s="12">
        <v>4000</v>
      </c>
      <c r="I298" s="13" t="s">
        <v>58</v>
      </c>
      <c r="J298" s="51">
        <f t="shared" si="8"/>
        <v>4000</v>
      </c>
      <c r="K298" s="11" t="s">
        <v>105</v>
      </c>
      <c r="L298">
        <f>MONTH(tb_investimentos[[#This Row],[DATA]])</f>
        <v>9</v>
      </c>
      <c r="M298">
        <f>YEAR(tb_investimentos[[#This Row],[DATA]])</f>
        <v>2028</v>
      </c>
      <c r="N298">
        <f>DAY(tb_investimentos[[#This Row],[DATA]])</f>
        <v>5</v>
      </c>
      <c r="O298" t="e">
        <f t="shared" si="9"/>
        <v>#DIV/0!</v>
      </c>
      <c r="P298" t="e">
        <f>tb_investimentos[[#This Row],[PREÇO MÉDIO PONDERADO]]*tb_investimentos[[#This Row],[QUANTIDADE]]</f>
        <v>#DIV/0!</v>
      </c>
      <c r="Q298" s="58" t="str">
        <f ca="1">IFERROR(_xlfn.XLOOKUP(tb_investimentos[[#This Row],[DESCRIÇÃO]],tb_acoes[Símbolo do ticker],tb_acoes[Preço]),"")</f>
        <v/>
      </c>
      <c r="R298" s="58" t="str">
        <f ca="1">IFERROR(tb_investimentos[[#This Row],[QUANTIDADE]]*tb_investimentos[[#This Row],[PREÇO MERCADO]],"")</f>
        <v/>
      </c>
      <c r="S298" s="58" t="str">
        <f ca="1">IFERROR(tb_investimentos[[#This Row],[VALOR TOTAL MERCADO]]-tb_investimentos[[#This Row],[VALOR TOTAL PONDERADO]],"")</f>
        <v/>
      </c>
      <c r="T298" s="58" t="str">
        <f ca="1">IFERROR(_xlfn.XLOOKUP(tb_investimentos[[#This Row],[DESCRIÇÃO]],'INFO AÇÕES'!E:E,'INFO AÇÕES'!H:H),"")</f>
        <v/>
      </c>
      <c r="U298" s="59" t="str">
        <f ca="1">IFERROR((tb_investimentos[[#This Row],[VALOR TOTAL MERCADO]]-tb_investimentos[[#This Row],[VALOR TOTAL PONDERADO]])/tb_investimentos[[#This Row],[VALOR TOTAL PONDERADO]],"")</f>
        <v/>
      </c>
    </row>
    <row r="299" spans="2:21" hidden="1" x14ac:dyDescent="0.2">
      <c r="B299" s="13" t="s">
        <v>77</v>
      </c>
      <c r="C299" s="10">
        <v>47011</v>
      </c>
      <c r="D299" s="9" t="s">
        <v>88</v>
      </c>
      <c r="E299" s="11" t="str">
        <f>IF(tb_investimentos[[#This Row],[TIPO MOVIMENTAÇÃO]]="Aporte",_xlfn.XLOOKUP(tb_investimentos[[#This Row],[DESCRIÇÃO]],'INFO AÇÕES'!E:E,'INFO AÇÕES'!I:I),"BRL")</f>
        <v>BRL</v>
      </c>
      <c r="F299" s="75" t="s">
        <v>91</v>
      </c>
      <c r="G299" s="11">
        <v>1</v>
      </c>
      <c r="H299" s="12">
        <v>1861.2933399999999</v>
      </c>
      <c r="I299" s="13" t="s">
        <v>107</v>
      </c>
      <c r="J299" s="51">
        <f t="shared" si="8"/>
        <v>1861.2933399999999</v>
      </c>
      <c r="K299" s="13" t="s">
        <v>105</v>
      </c>
      <c r="L299">
        <f>MONTH(tb_investimentos[[#This Row],[DATA]])</f>
        <v>9</v>
      </c>
      <c r="M299">
        <f>YEAR(tb_investimentos[[#This Row],[DATA]])</f>
        <v>2028</v>
      </c>
      <c r="N299">
        <f>DAY(tb_investimentos[[#This Row],[DATA]])</f>
        <v>15</v>
      </c>
      <c r="O299">
        <f t="shared" si="9"/>
        <v>1629.9930261538464</v>
      </c>
      <c r="P299">
        <f>tb_investimentos[[#This Row],[PREÇO MÉDIO PONDERADO]]*tb_investimentos[[#This Row],[QUANTIDADE]]</f>
        <v>1629.9930261538464</v>
      </c>
      <c r="Q299" s="58" t="str">
        <f ca="1">IFERROR(_xlfn.XLOOKUP(tb_investimentos[[#This Row],[DESCRIÇÃO]],tb_acoes[Símbolo do ticker],tb_acoes[Preço]),"")</f>
        <v/>
      </c>
      <c r="R299" s="58" t="str">
        <f ca="1">IFERROR(tb_investimentos[[#This Row],[QUANTIDADE]]*tb_investimentos[[#This Row],[PREÇO MERCADO]],"")</f>
        <v/>
      </c>
      <c r="S299" s="58" t="str">
        <f ca="1">IFERROR(tb_investimentos[[#This Row],[VALOR TOTAL MERCADO]]-tb_investimentos[[#This Row],[VALOR TOTAL PONDERADO]],"")</f>
        <v/>
      </c>
      <c r="T299" s="58" t="str">
        <f ca="1">IFERROR(_xlfn.XLOOKUP(tb_investimentos[[#This Row],[DESCRIÇÃO]],'INFO AÇÕES'!E:E,'INFO AÇÕES'!H:H),"")</f>
        <v/>
      </c>
      <c r="U299" s="59" t="str">
        <f ca="1">IFERROR((tb_investimentos[[#This Row],[VALOR TOTAL MERCADO]]-tb_investimentos[[#This Row],[VALOR TOTAL PONDERADO]])/tb_investimentos[[#This Row],[VALOR TOTAL PONDERADO]],"")</f>
        <v/>
      </c>
    </row>
    <row r="300" spans="2:21" hidden="1" x14ac:dyDescent="0.2">
      <c r="B300" s="13" t="s">
        <v>77</v>
      </c>
      <c r="C300" s="72">
        <v>47011</v>
      </c>
      <c r="D300" s="9" t="s">
        <v>78</v>
      </c>
      <c r="E300" s="11" t="str">
        <f>IF(tb_investimentos[[#This Row],[TIPO MOVIMENTAÇÃO]]="Aporte",_xlfn.XLOOKUP(tb_investimentos[[#This Row],[DESCRIÇÃO]],'INFO AÇÕES'!E:E,'INFO AÇÕES'!I:I),"BRL")</f>
        <v>BRL</v>
      </c>
      <c r="F300" s="75" t="s">
        <v>102</v>
      </c>
      <c r="G300" s="11">
        <v>1</v>
      </c>
      <c r="H300" s="12">
        <v>39.9</v>
      </c>
      <c r="I300" s="13" t="s">
        <v>107</v>
      </c>
      <c r="J300" s="51">
        <f t="shared" si="8"/>
        <v>39.9</v>
      </c>
      <c r="K300" s="13" t="s">
        <v>105</v>
      </c>
      <c r="L300">
        <f>MONTH(tb_investimentos[[#This Row],[DATA]])</f>
        <v>9</v>
      </c>
      <c r="M300">
        <f>YEAR(tb_investimentos[[#This Row],[DATA]])</f>
        <v>2028</v>
      </c>
      <c r="N300">
        <f>DAY(tb_investimentos[[#This Row],[DATA]])</f>
        <v>15</v>
      </c>
      <c r="O300">
        <f t="shared" si="9"/>
        <v>59.90000000000002</v>
      </c>
      <c r="P300">
        <f>tb_investimentos[[#This Row],[PREÇO MÉDIO PONDERADO]]*tb_investimentos[[#This Row],[QUANTIDADE]]</f>
        <v>59.90000000000002</v>
      </c>
      <c r="Q300" s="58" t="str">
        <f ca="1">IFERROR(_xlfn.XLOOKUP(tb_investimentos[[#This Row],[DESCRIÇÃO]],tb_acoes[Símbolo do ticker],tb_acoes[Preço]),"")</f>
        <v/>
      </c>
      <c r="R300" s="58" t="str">
        <f ca="1">IFERROR(tb_investimentos[[#This Row],[QUANTIDADE]]*tb_investimentos[[#This Row],[PREÇO MERCADO]],"")</f>
        <v/>
      </c>
      <c r="S300" s="58" t="str">
        <f ca="1">IFERROR(tb_investimentos[[#This Row],[VALOR TOTAL MERCADO]]-tb_investimentos[[#This Row],[VALOR TOTAL PONDERADO]],"")</f>
        <v/>
      </c>
      <c r="T300" s="58" t="str">
        <f ca="1">IFERROR(_xlfn.XLOOKUP(tb_investimentos[[#This Row],[DESCRIÇÃO]],'INFO AÇÕES'!E:E,'INFO AÇÕES'!H:H),"")</f>
        <v/>
      </c>
      <c r="U300" s="59" t="str">
        <f ca="1">IFERROR((tb_investimentos[[#This Row],[VALOR TOTAL MERCADO]]-tb_investimentos[[#This Row],[VALOR TOTAL PONDERADO]])/tb_investimentos[[#This Row],[VALOR TOTAL PONDERADO]],"")</f>
        <v/>
      </c>
    </row>
    <row r="301" spans="2:21" hidden="1" x14ac:dyDescent="0.2">
      <c r="B301" s="13" t="s">
        <v>77</v>
      </c>
      <c r="C301" s="72">
        <v>47011</v>
      </c>
      <c r="D301" s="9" t="s">
        <v>78</v>
      </c>
      <c r="E301" s="11" t="str">
        <f>IF(tb_investimentos[[#This Row],[TIPO MOVIMENTAÇÃO]]="Aporte",_xlfn.XLOOKUP(tb_investimentos[[#This Row],[DESCRIÇÃO]],'INFO AÇÕES'!E:E,'INFO AÇÕES'!I:I),"BRL")</f>
        <v>BRL</v>
      </c>
      <c r="F301" s="75" t="s">
        <v>101</v>
      </c>
      <c r="G301" s="11">
        <v>1</v>
      </c>
      <c r="H301" s="12">
        <v>79.900000000000006</v>
      </c>
      <c r="I301" s="13" t="s">
        <v>107</v>
      </c>
      <c r="J301" s="51">
        <f t="shared" si="8"/>
        <v>79.900000000000006</v>
      </c>
      <c r="K301" s="13" t="s">
        <v>105</v>
      </c>
      <c r="L301">
        <f>MONTH(tb_investimentos[[#This Row],[DATA]])</f>
        <v>9</v>
      </c>
      <c r="M301">
        <f>YEAR(tb_investimentos[[#This Row],[DATA]])</f>
        <v>2028</v>
      </c>
      <c r="N301">
        <f>DAY(tb_investimentos[[#This Row],[DATA]])</f>
        <v>15</v>
      </c>
      <c r="O301">
        <f t="shared" si="9"/>
        <v>59.90000000000002</v>
      </c>
      <c r="P301">
        <f>tb_investimentos[[#This Row],[PREÇO MÉDIO PONDERADO]]*tb_investimentos[[#This Row],[QUANTIDADE]]</f>
        <v>59.90000000000002</v>
      </c>
      <c r="Q301" s="58" t="str">
        <f ca="1">IFERROR(_xlfn.XLOOKUP(tb_investimentos[[#This Row],[DESCRIÇÃO]],tb_acoes[Símbolo do ticker],tb_acoes[Preço]),"")</f>
        <v/>
      </c>
      <c r="R301" s="58" t="str">
        <f ca="1">IFERROR(tb_investimentos[[#This Row],[QUANTIDADE]]*tb_investimentos[[#This Row],[PREÇO MERCADO]],"")</f>
        <v/>
      </c>
      <c r="S301" s="58" t="str">
        <f ca="1">IFERROR(tb_investimentos[[#This Row],[VALOR TOTAL MERCADO]]-tb_investimentos[[#This Row],[VALOR TOTAL PONDERADO]],"")</f>
        <v/>
      </c>
      <c r="T301" s="58" t="str">
        <f ca="1">IFERROR(_xlfn.XLOOKUP(tb_investimentos[[#This Row],[DESCRIÇÃO]],'INFO AÇÕES'!E:E,'INFO AÇÕES'!H:H),"")</f>
        <v/>
      </c>
      <c r="U301" s="59" t="str">
        <f ca="1">IFERROR((tb_investimentos[[#This Row],[VALOR TOTAL MERCADO]]-tb_investimentos[[#This Row],[VALOR TOTAL PONDERADO]])/tb_investimentos[[#This Row],[VALOR TOTAL PONDERADO]],"")</f>
        <v/>
      </c>
    </row>
    <row r="302" spans="2:21" hidden="1" x14ac:dyDescent="0.2">
      <c r="B302" s="13" t="s">
        <v>77</v>
      </c>
      <c r="C302" s="72">
        <v>47011</v>
      </c>
      <c r="D302" s="9" t="s">
        <v>79</v>
      </c>
      <c r="E302" s="11" t="str">
        <f>IF(tb_investimentos[[#This Row],[TIPO MOVIMENTAÇÃO]]="Aporte",_xlfn.XLOOKUP(tb_investimentos[[#This Row],[DESCRIÇÃO]],'INFO AÇÕES'!E:E,'INFO AÇÕES'!I:I),"BRL")</f>
        <v>BRL</v>
      </c>
      <c r="F302" s="75" t="s">
        <v>100</v>
      </c>
      <c r="G302" s="11">
        <v>1</v>
      </c>
      <c r="H302" s="12">
        <v>110</v>
      </c>
      <c r="I302" s="13" t="s">
        <v>107</v>
      </c>
      <c r="J302" s="51">
        <f t="shared" si="8"/>
        <v>110</v>
      </c>
      <c r="K302" s="13" t="s">
        <v>105</v>
      </c>
      <c r="L302">
        <f>MONTH(tb_investimentos[[#This Row],[DATA]])</f>
        <v>9</v>
      </c>
      <c r="M302">
        <f>YEAR(tb_investimentos[[#This Row],[DATA]])</f>
        <v>2028</v>
      </c>
      <c r="N302">
        <f>DAY(tb_investimentos[[#This Row],[DATA]])</f>
        <v>15</v>
      </c>
      <c r="O302">
        <f t="shared" si="9"/>
        <v>110</v>
      </c>
      <c r="P302">
        <f>tb_investimentos[[#This Row],[PREÇO MÉDIO PONDERADO]]*tb_investimentos[[#This Row],[QUANTIDADE]]</f>
        <v>110</v>
      </c>
      <c r="Q302" s="58" t="str">
        <f ca="1">IFERROR(_xlfn.XLOOKUP(tb_investimentos[[#This Row],[DESCRIÇÃO]],tb_acoes[Símbolo do ticker],tb_acoes[Preço]),"")</f>
        <v/>
      </c>
      <c r="R302" s="58" t="str">
        <f ca="1">IFERROR(tb_investimentos[[#This Row],[QUANTIDADE]]*tb_investimentos[[#This Row],[PREÇO MERCADO]],"")</f>
        <v/>
      </c>
      <c r="S302" s="58" t="str">
        <f ca="1">IFERROR(tb_investimentos[[#This Row],[VALOR TOTAL MERCADO]]-tb_investimentos[[#This Row],[VALOR TOTAL PONDERADO]],"")</f>
        <v/>
      </c>
      <c r="T302" s="58" t="str">
        <f ca="1">IFERROR(_xlfn.XLOOKUP(tb_investimentos[[#This Row],[DESCRIÇÃO]],'INFO AÇÕES'!E:E,'INFO AÇÕES'!H:H),"")</f>
        <v/>
      </c>
      <c r="U302" s="59" t="str">
        <f ca="1">IFERROR((tb_investimentos[[#This Row],[VALOR TOTAL MERCADO]]-tb_investimentos[[#This Row],[VALOR TOTAL PONDERADO]])/tb_investimentos[[#This Row],[VALOR TOTAL PONDERADO]],"")</f>
        <v/>
      </c>
    </row>
    <row r="303" spans="2:21" hidden="1" x14ac:dyDescent="0.2">
      <c r="B303" s="13" t="s">
        <v>77</v>
      </c>
      <c r="C303" s="72">
        <v>47011</v>
      </c>
      <c r="D303" s="9" t="s">
        <v>80</v>
      </c>
      <c r="E303" s="11" t="str">
        <f>IF(tb_investimentos[[#This Row],[TIPO MOVIMENTAÇÃO]]="Aporte",_xlfn.XLOOKUP(tb_investimentos[[#This Row],[DESCRIÇÃO]],'INFO AÇÕES'!E:E,'INFO AÇÕES'!I:I),"BRL")</f>
        <v>BRL</v>
      </c>
      <c r="F303" s="75" t="s">
        <v>99</v>
      </c>
      <c r="G303" s="11">
        <v>1</v>
      </c>
      <c r="H303" s="12">
        <v>25</v>
      </c>
      <c r="I303" s="13" t="s">
        <v>107</v>
      </c>
      <c r="J303" s="51">
        <f t="shared" si="8"/>
        <v>25</v>
      </c>
      <c r="K303" s="13" t="s">
        <v>105</v>
      </c>
      <c r="L303">
        <f>MONTH(tb_investimentos[[#This Row],[DATA]])</f>
        <v>9</v>
      </c>
      <c r="M303">
        <f>YEAR(tb_investimentos[[#This Row],[DATA]])</f>
        <v>2028</v>
      </c>
      <c r="N303">
        <f>DAY(tb_investimentos[[#This Row],[DATA]])</f>
        <v>15</v>
      </c>
      <c r="O303">
        <f t="shared" si="9"/>
        <v>25</v>
      </c>
      <c r="P303">
        <f>tb_investimentos[[#This Row],[PREÇO MÉDIO PONDERADO]]*tb_investimentos[[#This Row],[QUANTIDADE]]</f>
        <v>25</v>
      </c>
      <c r="Q303" s="58" t="str">
        <f ca="1">IFERROR(_xlfn.XLOOKUP(tb_investimentos[[#This Row],[DESCRIÇÃO]],tb_acoes[Símbolo do ticker],tb_acoes[Preço]),"")</f>
        <v/>
      </c>
      <c r="R303" s="58" t="str">
        <f ca="1">IFERROR(tb_investimentos[[#This Row],[QUANTIDADE]]*tb_investimentos[[#This Row],[PREÇO MERCADO]],"")</f>
        <v/>
      </c>
      <c r="S303" s="58" t="str">
        <f ca="1">IFERROR(tb_investimentos[[#This Row],[VALOR TOTAL MERCADO]]-tb_investimentos[[#This Row],[VALOR TOTAL PONDERADO]],"")</f>
        <v/>
      </c>
      <c r="T303" s="58" t="str">
        <f ca="1">IFERROR(_xlfn.XLOOKUP(tb_investimentos[[#This Row],[DESCRIÇÃO]],'INFO AÇÕES'!E:E,'INFO AÇÕES'!H:H),"")</f>
        <v/>
      </c>
      <c r="U303" s="59" t="str">
        <f ca="1">IFERROR((tb_investimentos[[#This Row],[VALOR TOTAL MERCADO]]-tb_investimentos[[#This Row],[VALOR TOTAL PONDERADO]])/tb_investimentos[[#This Row],[VALOR TOTAL PONDERADO]],"")</f>
        <v/>
      </c>
    </row>
    <row r="304" spans="2:21" hidden="1" x14ac:dyDescent="0.2">
      <c r="B304" s="13" t="s">
        <v>72</v>
      </c>
      <c r="C304" s="72">
        <v>47031</v>
      </c>
      <c r="D304" s="9" t="s">
        <v>76</v>
      </c>
      <c r="E304" s="11" t="str">
        <f>IF(tb_investimentos[[#This Row],[TIPO MOVIMENTAÇÃO]]="Aporte",_xlfn.XLOOKUP(tb_investimentos[[#This Row],[DESCRIÇÃO]],'INFO AÇÕES'!E:E,'INFO AÇÕES'!I:I),"BRL")</f>
        <v>BRL</v>
      </c>
      <c r="F304" s="75" t="s">
        <v>73</v>
      </c>
      <c r="G304" s="11">
        <v>1</v>
      </c>
      <c r="H304" s="12">
        <v>8000</v>
      </c>
      <c r="I304" s="13" t="s">
        <v>107</v>
      </c>
      <c r="J304" s="51">
        <f t="shared" si="8"/>
        <v>8000</v>
      </c>
      <c r="K304" s="13" t="s">
        <v>105</v>
      </c>
      <c r="L304">
        <f>MONTH(tb_investimentos[[#This Row],[DATA]])</f>
        <v>10</v>
      </c>
      <c r="M304">
        <f>YEAR(tb_investimentos[[#This Row],[DATA]])</f>
        <v>2028</v>
      </c>
      <c r="N304">
        <f>DAY(tb_investimentos[[#This Row],[DATA]])</f>
        <v>5</v>
      </c>
      <c r="O304">
        <f t="shared" si="9"/>
        <v>7801.7948717948721</v>
      </c>
      <c r="P304">
        <f>tb_investimentos[[#This Row],[PREÇO MÉDIO PONDERADO]]*tb_investimentos[[#This Row],[QUANTIDADE]]</f>
        <v>7801.7948717948721</v>
      </c>
      <c r="Q304" s="58" t="str">
        <f ca="1">IFERROR(_xlfn.XLOOKUP(tb_investimentos[[#This Row],[DESCRIÇÃO]],tb_acoes[Símbolo do ticker],tb_acoes[Preço]),"")</f>
        <v/>
      </c>
      <c r="R304" s="58" t="str">
        <f ca="1">IFERROR(tb_investimentos[[#This Row],[QUANTIDADE]]*tb_investimentos[[#This Row],[PREÇO MERCADO]],"")</f>
        <v/>
      </c>
      <c r="S304" s="58" t="str">
        <f ca="1">IFERROR(tb_investimentos[[#This Row],[VALOR TOTAL MERCADO]]-tb_investimentos[[#This Row],[VALOR TOTAL PONDERADO]],"")</f>
        <v/>
      </c>
      <c r="T304" s="58" t="str">
        <f ca="1">IFERROR(_xlfn.XLOOKUP(tb_investimentos[[#This Row],[DESCRIÇÃO]],'INFO AÇÕES'!E:E,'INFO AÇÕES'!H:H),"")</f>
        <v/>
      </c>
      <c r="U304" s="59" t="str">
        <f ca="1">IFERROR((tb_investimentos[[#This Row],[VALOR TOTAL MERCADO]]-tb_investimentos[[#This Row],[VALOR TOTAL PONDERADO]])/tb_investimentos[[#This Row],[VALOR TOTAL PONDERADO]],"")</f>
        <v/>
      </c>
    </row>
    <row r="305" spans="2:21" hidden="1" x14ac:dyDescent="0.2">
      <c r="B305" s="13" t="s">
        <v>39</v>
      </c>
      <c r="C305" s="10">
        <v>47031</v>
      </c>
      <c r="D305" s="9"/>
      <c r="E305" s="11">
        <f ca="1">IF(tb_investimentos[[#This Row],[TIPO MOVIMENTAÇÃO]]="Aporte",_xlfn.XLOOKUP(tb_investimentos[[#This Row],[DESCRIÇÃO]],'INFO AÇÕES'!E:E,'INFO AÇÕES'!I:I),"BRL")</f>
        <v>0</v>
      </c>
      <c r="F305" s="73" t="s">
        <v>10</v>
      </c>
      <c r="G305" s="11">
        <v>1</v>
      </c>
      <c r="H305" s="12">
        <v>4000</v>
      </c>
      <c r="I305" s="13" t="s">
        <v>58</v>
      </c>
      <c r="J305" s="51">
        <f t="shared" si="8"/>
        <v>4000</v>
      </c>
      <c r="K305" s="11" t="s">
        <v>105</v>
      </c>
      <c r="L305">
        <f>MONTH(tb_investimentos[[#This Row],[DATA]])</f>
        <v>10</v>
      </c>
      <c r="M305">
        <f>YEAR(tb_investimentos[[#This Row],[DATA]])</f>
        <v>2028</v>
      </c>
      <c r="N305">
        <f>DAY(tb_investimentos[[#This Row],[DATA]])</f>
        <v>5</v>
      </c>
      <c r="O305" t="e">
        <f t="shared" si="9"/>
        <v>#DIV/0!</v>
      </c>
      <c r="P305" t="e">
        <f>tb_investimentos[[#This Row],[PREÇO MÉDIO PONDERADO]]*tb_investimentos[[#This Row],[QUANTIDADE]]</f>
        <v>#DIV/0!</v>
      </c>
      <c r="Q305" s="58" t="str">
        <f ca="1">IFERROR(_xlfn.XLOOKUP(tb_investimentos[[#This Row],[DESCRIÇÃO]],tb_acoes[Símbolo do ticker],tb_acoes[Preço]),"")</f>
        <v/>
      </c>
      <c r="R305" s="58" t="str">
        <f ca="1">IFERROR(tb_investimentos[[#This Row],[QUANTIDADE]]*tb_investimentos[[#This Row],[PREÇO MERCADO]],"")</f>
        <v/>
      </c>
      <c r="S305" s="58" t="str">
        <f ca="1">IFERROR(tb_investimentos[[#This Row],[VALOR TOTAL MERCADO]]-tb_investimentos[[#This Row],[VALOR TOTAL PONDERADO]],"")</f>
        <v/>
      </c>
      <c r="T305" s="58" t="str">
        <f ca="1">IFERROR(_xlfn.XLOOKUP(tb_investimentos[[#This Row],[DESCRIÇÃO]],'INFO AÇÕES'!E:E,'INFO AÇÕES'!H:H),"")</f>
        <v/>
      </c>
      <c r="U305" s="59" t="str">
        <f ca="1">IFERROR((tb_investimentos[[#This Row],[VALOR TOTAL MERCADO]]-tb_investimentos[[#This Row],[VALOR TOTAL PONDERADO]])/tb_investimentos[[#This Row],[VALOR TOTAL PONDERADO]],"")</f>
        <v/>
      </c>
    </row>
    <row r="306" spans="2:21" hidden="1" x14ac:dyDescent="0.2">
      <c r="B306" s="13" t="s">
        <v>77</v>
      </c>
      <c r="C306" s="10">
        <v>47041</v>
      </c>
      <c r="D306" s="9" t="s">
        <v>88</v>
      </c>
      <c r="E306" s="11" t="str">
        <f>IF(tb_investimentos[[#This Row],[TIPO MOVIMENTAÇÃO]]="Aporte",_xlfn.XLOOKUP(tb_investimentos[[#This Row],[DESCRIÇÃO]],'INFO AÇÕES'!E:E,'INFO AÇÕES'!I:I),"BRL")</f>
        <v>BRL</v>
      </c>
      <c r="F306" s="75" t="s">
        <v>91</v>
      </c>
      <c r="G306" s="11">
        <v>1</v>
      </c>
      <c r="H306" s="12">
        <v>1878.0903800000001</v>
      </c>
      <c r="I306" s="13" t="s">
        <v>107</v>
      </c>
      <c r="J306" s="51">
        <f t="shared" si="8"/>
        <v>1878.0903800000001</v>
      </c>
      <c r="K306" s="13" t="s">
        <v>105</v>
      </c>
      <c r="L306" s="84">
        <f>MONTH(tb_investimentos[[#This Row],[DATA]])</f>
        <v>10</v>
      </c>
      <c r="M306">
        <f>YEAR(tb_investimentos[[#This Row],[DATA]])</f>
        <v>2028</v>
      </c>
      <c r="N306">
        <f>DAY(tb_investimentos[[#This Row],[DATA]])</f>
        <v>15</v>
      </c>
      <c r="O306">
        <f t="shared" si="9"/>
        <v>1629.9930261538464</v>
      </c>
      <c r="P306">
        <f>tb_investimentos[[#This Row],[PREÇO MÉDIO PONDERADO]]*tb_investimentos[[#This Row],[QUANTIDADE]]</f>
        <v>1629.9930261538464</v>
      </c>
      <c r="Q306" s="58" t="str">
        <f ca="1">IFERROR(_xlfn.XLOOKUP(tb_investimentos[[#This Row],[DESCRIÇÃO]],tb_acoes[Símbolo do ticker],tb_acoes[Preço]),"")</f>
        <v/>
      </c>
      <c r="R306" s="58" t="str">
        <f ca="1">IFERROR(tb_investimentos[[#This Row],[QUANTIDADE]]*tb_investimentos[[#This Row],[PREÇO MERCADO]],"")</f>
        <v/>
      </c>
      <c r="S306" s="58" t="str">
        <f ca="1">IFERROR(tb_investimentos[[#This Row],[VALOR TOTAL MERCADO]]-tb_investimentos[[#This Row],[VALOR TOTAL PONDERADO]],"")</f>
        <v/>
      </c>
      <c r="T306" s="58" t="str">
        <f ca="1">IFERROR(_xlfn.XLOOKUP(tb_investimentos[[#This Row],[DESCRIÇÃO]],'INFO AÇÕES'!E:E,'INFO AÇÕES'!H:H),"")</f>
        <v/>
      </c>
      <c r="U306" s="59" t="str">
        <f ca="1">IFERROR((tb_investimentos[[#This Row],[VALOR TOTAL MERCADO]]-tb_investimentos[[#This Row],[VALOR TOTAL PONDERADO]])/tb_investimentos[[#This Row],[VALOR TOTAL PONDERADO]],"")</f>
        <v/>
      </c>
    </row>
    <row r="307" spans="2:21" hidden="1" x14ac:dyDescent="0.2">
      <c r="B307" s="13" t="s">
        <v>77</v>
      </c>
      <c r="C307" s="10">
        <v>47041</v>
      </c>
      <c r="D307" s="9" t="s">
        <v>130</v>
      </c>
      <c r="E307" s="11" t="str">
        <f>IF(tb_investimentos[[#This Row],[TIPO MOVIMENTAÇÃO]]="Aporte",_xlfn.XLOOKUP(tb_investimentos[[#This Row],[DESCRIÇÃO]],'INFO AÇÕES'!E:E,'INFO AÇÕES'!I:I),"BRL")</f>
        <v>BRL</v>
      </c>
      <c r="F307" s="75" t="s">
        <v>83</v>
      </c>
      <c r="G307" s="11">
        <v>1</v>
      </c>
      <c r="H307" s="12">
        <v>400</v>
      </c>
      <c r="I307" s="13" t="s">
        <v>107</v>
      </c>
      <c r="J307" s="51">
        <f t="shared" si="8"/>
        <v>400</v>
      </c>
      <c r="K307" s="13" t="s">
        <v>105</v>
      </c>
      <c r="L307">
        <f>MONTH(tb_investimentos[[#This Row],[DATA]])</f>
        <v>10</v>
      </c>
      <c r="M307">
        <f>YEAR(tb_investimentos[[#This Row],[DATA]])</f>
        <v>2028</v>
      </c>
      <c r="N307">
        <f>DAY(tb_investimentos[[#This Row],[DATA]])</f>
        <v>15</v>
      </c>
      <c r="O307">
        <f t="shared" si="9"/>
        <v>400</v>
      </c>
      <c r="P307">
        <f>tb_investimentos[[#This Row],[PREÇO MÉDIO PONDERADO]]*tb_investimentos[[#This Row],[QUANTIDADE]]</f>
        <v>400</v>
      </c>
      <c r="Q307" s="58" t="str">
        <f ca="1">IFERROR(_xlfn.XLOOKUP(tb_investimentos[[#This Row],[DESCRIÇÃO]],tb_acoes[Símbolo do ticker],tb_acoes[Preço]),"")</f>
        <v/>
      </c>
      <c r="R307" s="58" t="str">
        <f ca="1">IFERROR(tb_investimentos[[#This Row],[QUANTIDADE]]*tb_investimentos[[#This Row],[PREÇO MERCADO]],"")</f>
        <v/>
      </c>
      <c r="S307" s="58" t="str">
        <f ca="1">IFERROR(tb_investimentos[[#This Row],[VALOR TOTAL MERCADO]]-tb_investimentos[[#This Row],[VALOR TOTAL PONDERADO]],"")</f>
        <v/>
      </c>
      <c r="T307" s="58" t="str">
        <f ca="1">IFERROR(_xlfn.XLOOKUP(tb_investimentos[[#This Row],[DESCRIÇÃO]],'INFO AÇÕES'!E:E,'INFO AÇÕES'!H:H),"")</f>
        <v/>
      </c>
      <c r="U307" s="59" t="str">
        <f ca="1">IFERROR((tb_investimentos[[#This Row],[VALOR TOTAL MERCADO]]-tb_investimentos[[#This Row],[VALOR TOTAL PONDERADO]])/tb_investimentos[[#This Row],[VALOR TOTAL PONDERADO]],"")</f>
        <v/>
      </c>
    </row>
    <row r="308" spans="2:21" hidden="1" x14ac:dyDescent="0.2">
      <c r="B308" s="13" t="s">
        <v>77</v>
      </c>
      <c r="C308" s="72">
        <v>47041</v>
      </c>
      <c r="D308" s="9" t="s">
        <v>78</v>
      </c>
      <c r="E308" s="11" t="str">
        <f>IF(tb_investimentos[[#This Row],[TIPO MOVIMENTAÇÃO]]="Aporte",_xlfn.XLOOKUP(tb_investimentos[[#This Row],[DESCRIÇÃO]],'INFO AÇÕES'!E:E,'INFO AÇÕES'!I:I),"BRL")</f>
        <v>BRL</v>
      </c>
      <c r="F308" s="75" t="s">
        <v>102</v>
      </c>
      <c r="G308" s="11">
        <v>1</v>
      </c>
      <c r="H308" s="12">
        <v>39.9</v>
      </c>
      <c r="I308" s="13" t="s">
        <v>107</v>
      </c>
      <c r="J308" s="51">
        <f t="shared" si="8"/>
        <v>39.9</v>
      </c>
      <c r="K308" s="13" t="s">
        <v>105</v>
      </c>
      <c r="L308">
        <f>MONTH(tb_investimentos[[#This Row],[DATA]])</f>
        <v>10</v>
      </c>
      <c r="M308">
        <f>YEAR(tb_investimentos[[#This Row],[DATA]])</f>
        <v>2028</v>
      </c>
      <c r="N308">
        <f>DAY(tb_investimentos[[#This Row],[DATA]])</f>
        <v>15</v>
      </c>
      <c r="O308">
        <f t="shared" si="9"/>
        <v>59.90000000000002</v>
      </c>
      <c r="P308">
        <f>tb_investimentos[[#This Row],[PREÇO MÉDIO PONDERADO]]*tb_investimentos[[#This Row],[QUANTIDADE]]</f>
        <v>59.90000000000002</v>
      </c>
      <c r="Q308" s="58" t="str">
        <f ca="1">IFERROR(_xlfn.XLOOKUP(tb_investimentos[[#This Row],[DESCRIÇÃO]],tb_acoes[Símbolo do ticker],tb_acoes[Preço]),"")</f>
        <v/>
      </c>
      <c r="R308" s="58" t="str">
        <f ca="1">IFERROR(tb_investimentos[[#This Row],[QUANTIDADE]]*tb_investimentos[[#This Row],[PREÇO MERCADO]],"")</f>
        <v/>
      </c>
      <c r="S308" s="58" t="str">
        <f ca="1">IFERROR(tb_investimentos[[#This Row],[VALOR TOTAL MERCADO]]-tb_investimentos[[#This Row],[VALOR TOTAL PONDERADO]],"")</f>
        <v/>
      </c>
      <c r="T308" s="58" t="str">
        <f ca="1">IFERROR(_xlfn.XLOOKUP(tb_investimentos[[#This Row],[DESCRIÇÃO]],'INFO AÇÕES'!E:E,'INFO AÇÕES'!H:H),"")</f>
        <v/>
      </c>
      <c r="U308" s="59" t="str">
        <f ca="1">IFERROR((tb_investimentos[[#This Row],[VALOR TOTAL MERCADO]]-tb_investimentos[[#This Row],[VALOR TOTAL PONDERADO]])/tb_investimentos[[#This Row],[VALOR TOTAL PONDERADO]],"")</f>
        <v/>
      </c>
    </row>
    <row r="309" spans="2:21" hidden="1" x14ac:dyDescent="0.2">
      <c r="B309" s="13" t="s">
        <v>77</v>
      </c>
      <c r="C309" s="72">
        <v>47041</v>
      </c>
      <c r="D309" s="9" t="s">
        <v>78</v>
      </c>
      <c r="E309" s="11" t="str">
        <f>IF(tb_investimentos[[#This Row],[TIPO MOVIMENTAÇÃO]]="Aporte",_xlfn.XLOOKUP(tb_investimentos[[#This Row],[DESCRIÇÃO]],'INFO AÇÕES'!E:E,'INFO AÇÕES'!I:I),"BRL")</f>
        <v>BRL</v>
      </c>
      <c r="F309" s="75" t="s">
        <v>101</v>
      </c>
      <c r="G309" s="11">
        <v>1</v>
      </c>
      <c r="H309" s="12">
        <v>79.900000000000006</v>
      </c>
      <c r="I309" s="13" t="s">
        <v>107</v>
      </c>
      <c r="J309" s="51">
        <f t="shared" si="8"/>
        <v>79.900000000000006</v>
      </c>
      <c r="K309" s="13" t="s">
        <v>105</v>
      </c>
      <c r="L309">
        <f>MONTH(tb_investimentos[[#This Row],[DATA]])</f>
        <v>10</v>
      </c>
      <c r="M309">
        <f>YEAR(tb_investimentos[[#This Row],[DATA]])</f>
        <v>2028</v>
      </c>
      <c r="N309">
        <f>DAY(tb_investimentos[[#This Row],[DATA]])</f>
        <v>15</v>
      </c>
      <c r="O309">
        <f t="shared" si="9"/>
        <v>59.90000000000002</v>
      </c>
      <c r="P309">
        <f>tb_investimentos[[#This Row],[PREÇO MÉDIO PONDERADO]]*tb_investimentos[[#This Row],[QUANTIDADE]]</f>
        <v>59.90000000000002</v>
      </c>
      <c r="Q309" s="58" t="str">
        <f ca="1">IFERROR(_xlfn.XLOOKUP(tb_investimentos[[#This Row],[DESCRIÇÃO]],tb_acoes[Símbolo do ticker],tb_acoes[Preço]),"")</f>
        <v/>
      </c>
      <c r="R309" s="58" t="str">
        <f ca="1">IFERROR(tb_investimentos[[#This Row],[QUANTIDADE]]*tb_investimentos[[#This Row],[PREÇO MERCADO]],"")</f>
        <v/>
      </c>
      <c r="S309" s="58" t="str">
        <f ca="1">IFERROR(tb_investimentos[[#This Row],[VALOR TOTAL MERCADO]]-tb_investimentos[[#This Row],[VALOR TOTAL PONDERADO]],"")</f>
        <v/>
      </c>
      <c r="T309" s="58" t="str">
        <f ca="1">IFERROR(_xlfn.XLOOKUP(tb_investimentos[[#This Row],[DESCRIÇÃO]],'INFO AÇÕES'!E:E,'INFO AÇÕES'!H:H),"")</f>
        <v/>
      </c>
      <c r="U309" s="59" t="str">
        <f ca="1">IFERROR((tb_investimentos[[#This Row],[VALOR TOTAL MERCADO]]-tb_investimentos[[#This Row],[VALOR TOTAL PONDERADO]])/tb_investimentos[[#This Row],[VALOR TOTAL PONDERADO]],"")</f>
        <v/>
      </c>
    </row>
    <row r="310" spans="2:21" hidden="1" x14ac:dyDescent="0.2">
      <c r="B310" s="13" t="s">
        <v>77</v>
      </c>
      <c r="C310" s="72">
        <v>47041</v>
      </c>
      <c r="D310" s="9" t="s">
        <v>79</v>
      </c>
      <c r="E310" s="11" t="str">
        <f>IF(tb_investimentos[[#This Row],[TIPO MOVIMENTAÇÃO]]="Aporte",_xlfn.XLOOKUP(tb_investimentos[[#This Row],[DESCRIÇÃO]],'INFO AÇÕES'!E:E,'INFO AÇÕES'!I:I),"BRL")</f>
        <v>BRL</v>
      </c>
      <c r="F310" s="75" t="s">
        <v>100</v>
      </c>
      <c r="G310" s="11">
        <v>1</v>
      </c>
      <c r="H310" s="12">
        <v>110</v>
      </c>
      <c r="I310" s="13" t="s">
        <v>107</v>
      </c>
      <c r="J310" s="51">
        <f t="shared" si="8"/>
        <v>110</v>
      </c>
      <c r="K310" s="13" t="s">
        <v>105</v>
      </c>
      <c r="L310">
        <f>MONTH(tb_investimentos[[#This Row],[DATA]])</f>
        <v>10</v>
      </c>
      <c r="M310">
        <f>YEAR(tb_investimentos[[#This Row],[DATA]])</f>
        <v>2028</v>
      </c>
      <c r="N310">
        <f>DAY(tb_investimentos[[#This Row],[DATA]])</f>
        <v>15</v>
      </c>
      <c r="O310">
        <f t="shared" si="9"/>
        <v>110</v>
      </c>
      <c r="P310">
        <f>tb_investimentos[[#This Row],[PREÇO MÉDIO PONDERADO]]*tb_investimentos[[#This Row],[QUANTIDADE]]</f>
        <v>110</v>
      </c>
      <c r="Q310" s="58" t="str">
        <f ca="1">IFERROR(_xlfn.XLOOKUP(tb_investimentos[[#This Row],[DESCRIÇÃO]],tb_acoes[Símbolo do ticker],tb_acoes[Preço]),"")</f>
        <v/>
      </c>
      <c r="R310" s="58" t="str">
        <f ca="1">IFERROR(tb_investimentos[[#This Row],[QUANTIDADE]]*tb_investimentos[[#This Row],[PREÇO MERCADO]],"")</f>
        <v/>
      </c>
      <c r="S310" s="58" t="str">
        <f ca="1">IFERROR(tb_investimentos[[#This Row],[VALOR TOTAL MERCADO]]-tb_investimentos[[#This Row],[VALOR TOTAL PONDERADO]],"")</f>
        <v/>
      </c>
      <c r="T310" s="58" t="str">
        <f ca="1">IFERROR(_xlfn.XLOOKUP(tb_investimentos[[#This Row],[DESCRIÇÃO]],'INFO AÇÕES'!E:E,'INFO AÇÕES'!H:H),"")</f>
        <v/>
      </c>
      <c r="U310" s="59" t="str">
        <f ca="1">IFERROR((tb_investimentos[[#This Row],[VALOR TOTAL MERCADO]]-tb_investimentos[[#This Row],[VALOR TOTAL PONDERADO]])/tb_investimentos[[#This Row],[VALOR TOTAL PONDERADO]],"")</f>
        <v/>
      </c>
    </row>
    <row r="311" spans="2:21" hidden="1" x14ac:dyDescent="0.2">
      <c r="B311" s="13" t="s">
        <v>77</v>
      </c>
      <c r="C311" s="72">
        <v>47041</v>
      </c>
      <c r="D311" s="9" t="s">
        <v>80</v>
      </c>
      <c r="E311" s="11" t="str">
        <f>IF(tb_investimentos[[#This Row],[TIPO MOVIMENTAÇÃO]]="Aporte",_xlfn.XLOOKUP(tb_investimentos[[#This Row],[DESCRIÇÃO]],'INFO AÇÕES'!E:E,'INFO AÇÕES'!I:I),"BRL")</f>
        <v>BRL</v>
      </c>
      <c r="F311" s="75" t="s">
        <v>99</v>
      </c>
      <c r="G311" s="11">
        <v>1</v>
      </c>
      <c r="H311" s="12">
        <v>25</v>
      </c>
      <c r="I311" s="13" t="s">
        <v>107</v>
      </c>
      <c r="J311" s="51">
        <f t="shared" si="8"/>
        <v>25</v>
      </c>
      <c r="K311" s="13" t="s">
        <v>105</v>
      </c>
      <c r="L311">
        <f>MONTH(tb_investimentos[[#This Row],[DATA]])</f>
        <v>10</v>
      </c>
      <c r="M311">
        <f>YEAR(tb_investimentos[[#This Row],[DATA]])</f>
        <v>2028</v>
      </c>
      <c r="N311">
        <f>DAY(tb_investimentos[[#This Row],[DATA]])</f>
        <v>15</v>
      </c>
      <c r="O311">
        <f t="shared" si="9"/>
        <v>25</v>
      </c>
      <c r="P311">
        <f>tb_investimentos[[#This Row],[PREÇO MÉDIO PONDERADO]]*tb_investimentos[[#This Row],[QUANTIDADE]]</f>
        <v>25</v>
      </c>
      <c r="Q311" s="58" t="str">
        <f ca="1">IFERROR(_xlfn.XLOOKUP(tb_investimentos[[#This Row],[DESCRIÇÃO]],tb_acoes[Símbolo do ticker],tb_acoes[Preço]),"")</f>
        <v/>
      </c>
      <c r="R311" s="58" t="str">
        <f ca="1">IFERROR(tb_investimentos[[#This Row],[QUANTIDADE]]*tb_investimentos[[#This Row],[PREÇO MERCADO]],"")</f>
        <v/>
      </c>
      <c r="S311" s="58" t="str">
        <f ca="1">IFERROR(tb_investimentos[[#This Row],[VALOR TOTAL MERCADO]]-tb_investimentos[[#This Row],[VALOR TOTAL PONDERADO]],"")</f>
        <v/>
      </c>
      <c r="T311" s="58" t="str">
        <f ca="1">IFERROR(_xlfn.XLOOKUP(tb_investimentos[[#This Row],[DESCRIÇÃO]],'INFO AÇÕES'!E:E,'INFO AÇÕES'!H:H),"")</f>
        <v/>
      </c>
      <c r="U311" s="59" t="str">
        <f ca="1">IFERROR((tb_investimentos[[#This Row],[VALOR TOTAL MERCADO]]-tb_investimentos[[#This Row],[VALOR TOTAL PONDERADO]])/tb_investimentos[[#This Row],[VALOR TOTAL PONDERADO]],"")</f>
        <v/>
      </c>
    </row>
    <row r="312" spans="2:21" hidden="1" x14ac:dyDescent="0.2">
      <c r="B312" s="13" t="s">
        <v>72</v>
      </c>
      <c r="C312" s="72">
        <v>47062</v>
      </c>
      <c r="D312" s="9" t="s">
        <v>76</v>
      </c>
      <c r="E312" s="11" t="str">
        <f>IF(tb_investimentos[[#This Row],[TIPO MOVIMENTAÇÃO]]="Aporte",_xlfn.XLOOKUP(tb_investimentos[[#This Row],[DESCRIÇÃO]],'INFO AÇÕES'!E:E,'INFO AÇÕES'!I:I),"BRL")</f>
        <v>BRL</v>
      </c>
      <c r="F312" s="75" t="s">
        <v>73</v>
      </c>
      <c r="G312" s="11">
        <v>1</v>
      </c>
      <c r="H312" s="12">
        <v>8000</v>
      </c>
      <c r="I312" s="13" t="s">
        <v>107</v>
      </c>
      <c r="J312" s="51">
        <f t="shared" si="8"/>
        <v>8000</v>
      </c>
      <c r="K312" s="13" t="s">
        <v>105</v>
      </c>
      <c r="L312">
        <f>MONTH(tb_investimentos[[#This Row],[DATA]])</f>
        <v>11</v>
      </c>
      <c r="M312">
        <f>YEAR(tb_investimentos[[#This Row],[DATA]])</f>
        <v>2028</v>
      </c>
      <c r="N312">
        <f>DAY(tb_investimentos[[#This Row],[DATA]])</f>
        <v>5</v>
      </c>
      <c r="O312">
        <f t="shared" si="9"/>
        <v>7801.7948717948721</v>
      </c>
      <c r="P312">
        <f>tb_investimentos[[#This Row],[PREÇO MÉDIO PONDERADO]]*tb_investimentos[[#This Row],[QUANTIDADE]]</f>
        <v>7801.7948717948721</v>
      </c>
      <c r="Q312" s="58" t="str">
        <f ca="1">IFERROR(_xlfn.XLOOKUP(tb_investimentos[[#This Row],[DESCRIÇÃO]],tb_acoes[Símbolo do ticker],tb_acoes[Preço]),"")</f>
        <v/>
      </c>
      <c r="R312" s="58" t="str">
        <f ca="1">IFERROR(tb_investimentos[[#This Row],[QUANTIDADE]]*tb_investimentos[[#This Row],[PREÇO MERCADO]],"")</f>
        <v/>
      </c>
      <c r="S312" s="58" t="str">
        <f ca="1">IFERROR(tb_investimentos[[#This Row],[VALOR TOTAL MERCADO]]-tb_investimentos[[#This Row],[VALOR TOTAL PONDERADO]],"")</f>
        <v/>
      </c>
      <c r="T312" s="58" t="str">
        <f ca="1">IFERROR(_xlfn.XLOOKUP(tb_investimentos[[#This Row],[DESCRIÇÃO]],'INFO AÇÕES'!E:E,'INFO AÇÕES'!H:H),"")</f>
        <v/>
      </c>
      <c r="U312" s="59" t="str">
        <f ca="1">IFERROR((tb_investimentos[[#This Row],[VALOR TOTAL MERCADO]]-tb_investimentos[[#This Row],[VALOR TOTAL PONDERADO]])/tb_investimentos[[#This Row],[VALOR TOTAL PONDERADO]],"")</f>
        <v/>
      </c>
    </row>
    <row r="313" spans="2:21" hidden="1" x14ac:dyDescent="0.2">
      <c r="B313" s="13" t="s">
        <v>39</v>
      </c>
      <c r="C313" s="10">
        <v>47062</v>
      </c>
      <c r="D313" s="9"/>
      <c r="E313" s="11">
        <f ca="1">IF(tb_investimentos[[#This Row],[TIPO MOVIMENTAÇÃO]]="Aporte",_xlfn.XLOOKUP(tb_investimentos[[#This Row],[DESCRIÇÃO]],'INFO AÇÕES'!E:E,'INFO AÇÕES'!I:I),"BRL")</f>
        <v>0</v>
      </c>
      <c r="F313" s="73" t="s">
        <v>10</v>
      </c>
      <c r="G313" s="11">
        <v>1</v>
      </c>
      <c r="H313" s="12">
        <v>3000</v>
      </c>
      <c r="I313" s="13" t="s">
        <v>58</v>
      </c>
      <c r="J313" s="51">
        <f t="shared" si="8"/>
        <v>3000</v>
      </c>
      <c r="K313" s="11" t="s">
        <v>105</v>
      </c>
      <c r="L313">
        <f>MONTH(tb_investimentos[[#This Row],[DATA]])</f>
        <v>11</v>
      </c>
      <c r="M313">
        <f>YEAR(tb_investimentos[[#This Row],[DATA]])</f>
        <v>2028</v>
      </c>
      <c r="N313">
        <f>DAY(tb_investimentos[[#This Row],[DATA]])</f>
        <v>5</v>
      </c>
      <c r="O313" t="e">
        <f t="shared" si="9"/>
        <v>#DIV/0!</v>
      </c>
      <c r="P313" t="e">
        <f>tb_investimentos[[#This Row],[PREÇO MÉDIO PONDERADO]]*tb_investimentos[[#This Row],[QUANTIDADE]]</f>
        <v>#DIV/0!</v>
      </c>
      <c r="Q313" s="58" t="str">
        <f ca="1">IFERROR(_xlfn.XLOOKUP(tb_investimentos[[#This Row],[DESCRIÇÃO]],tb_acoes[Símbolo do ticker],tb_acoes[Preço]),"")</f>
        <v/>
      </c>
      <c r="R313" s="58" t="str">
        <f ca="1">IFERROR(tb_investimentos[[#This Row],[QUANTIDADE]]*tb_investimentos[[#This Row],[PREÇO MERCADO]],"")</f>
        <v/>
      </c>
      <c r="S313" s="58" t="str">
        <f ca="1">IFERROR(tb_investimentos[[#This Row],[VALOR TOTAL MERCADO]]-tb_investimentos[[#This Row],[VALOR TOTAL PONDERADO]],"")</f>
        <v/>
      </c>
      <c r="T313" s="58" t="str">
        <f ca="1">IFERROR(_xlfn.XLOOKUP(tb_investimentos[[#This Row],[DESCRIÇÃO]],'INFO AÇÕES'!E:E,'INFO AÇÕES'!H:H),"")</f>
        <v/>
      </c>
      <c r="U313" s="59" t="str">
        <f ca="1">IFERROR((tb_investimentos[[#This Row],[VALOR TOTAL MERCADO]]-tb_investimentos[[#This Row],[VALOR TOTAL PONDERADO]])/tb_investimentos[[#This Row],[VALOR TOTAL PONDERADO]],"")</f>
        <v/>
      </c>
    </row>
    <row r="314" spans="2:21" hidden="1" x14ac:dyDescent="0.2">
      <c r="B314" s="13" t="s">
        <v>77</v>
      </c>
      <c r="C314" s="10">
        <v>47072</v>
      </c>
      <c r="D314" s="9" t="s">
        <v>88</v>
      </c>
      <c r="E314" s="11" t="str">
        <f>IF(tb_investimentos[[#This Row],[TIPO MOVIMENTAÇÃO]]="Aporte",_xlfn.XLOOKUP(tb_investimentos[[#This Row],[DESCRIÇÃO]],'INFO AÇÕES'!E:E,'INFO AÇÕES'!I:I),"BRL")</f>
        <v>BRL</v>
      </c>
      <c r="F314" s="75" t="s">
        <v>91</v>
      </c>
      <c r="G314" s="11">
        <v>1</v>
      </c>
      <c r="H314" s="12">
        <v>1894.88742</v>
      </c>
      <c r="I314" s="13" t="s">
        <v>107</v>
      </c>
      <c r="J314" s="51">
        <f t="shared" si="8"/>
        <v>1894.88742</v>
      </c>
      <c r="K314" s="13" t="s">
        <v>105</v>
      </c>
      <c r="L314">
        <f>MONTH(tb_investimentos[[#This Row],[DATA]])</f>
        <v>11</v>
      </c>
      <c r="M314">
        <f>YEAR(tb_investimentos[[#This Row],[DATA]])</f>
        <v>2028</v>
      </c>
      <c r="N314">
        <f>DAY(tb_investimentos[[#This Row],[DATA]])</f>
        <v>15</v>
      </c>
      <c r="O314">
        <f t="shared" si="9"/>
        <v>1629.9930261538464</v>
      </c>
      <c r="P314">
        <f>tb_investimentos[[#This Row],[PREÇO MÉDIO PONDERADO]]*tb_investimentos[[#This Row],[QUANTIDADE]]</f>
        <v>1629.9930261538464</v>
      </c>
      <c r="Q314" s="58" t="str">
        <f ca="1">IFERROR(_xlfn.XLOOKUP(tb_investimentos[[#This Row],[DESCRIÇÃO]],tb_acoes[Símbolo do ticker],tb_acoes[Preço]),"")</f>
        <v/>
      </c>
      <c r="R314" s="58" t="str">
        <f ca="1">IFERROR(tb_investimentos[[#This Row],[QUANTIDADE]]*tb_investimentos[[#This Row],[PREÇO MERCADO]],"")</f>
        <v/>
      </c>
      <c r="S314" s="58" t="str">
        <f ca="1">IFERROR(tb_investimentos[[#This Row],[VALOR TOTAL MERCADO]]-tb_investimentos[[#This Row],[VALOR TOTAL PONDERADO]],"")</f>
        <v/>
      </c>
      <c r="T314" s="58" t="str">
        <f ca="1">IFERROR(_xlfn.XLOOKUP(tb_investimentos[[#This Row],[DESCRIÇÃO]],'INFO AÇÕES'!E:E,'INFO AÇÕES'!H:H),"")</f>
        <v/>
      </c>
      <c r="U314" s="59" t="str">
        <f ca="1">IFERROR((tb_investimentos[[#This Row],[VALOR TOTAL MERCADO]]-tb_investimentos[[#This Row],[VALOR TOTAL PONDERADO]])/tb_investimentos[[#This Row],[VALOR TOTAL PONDERADO]],"")</f>
        <v/>
      </c>
    </row>
    <row r="315" spans="2:21" hidden="1" x14ac:dyDescent="0.2">
      <c r="B315" s="13" t="s">
        <v>77</v>
      </c>
      <c r="C315" s="10">
        <v>47072</v>
      </c>
      <c r="D315" s="9" t="s">
        <v>130</v>
      </c>
      <c r="E315" s="11" t="str">
        <f>IF(tb_investimentos[[#This Row],[TIPO MOVIMENTAÇÃO]]="Aporte",_xlfn.XLOOKUP(tb_investimentos[[#This Row],[DESCRIÇÃO]],'INFO AÇÕES'!E:E,'INFO AÇÕES'!I:I),"BRL")</f>
        <v>BRL</v>
      </c>
      <c r="F315" s="75" t="s">
        <v>83</v>
      </c>
      <c r="G315" s="11">
        <v>1</v>
      </c>
      <c r="H315" s="12">
        <v>400</v>
      </c>
      <c r="I315" s="13" t="s">
        <v>107</v>
      </c>
      <c r="J315" s="51">
        <f t="shared" si="8"/>
        <v>400</v>
      </c>
      <c r="K315" s="13" t="s">
        <v>105</v>
      </c>
      <c r="L315">
        <f>MONTH(tb_investimentos[[#This Row],[DATA]])</f>
        <v>11</v>
      </c>
      <c r="M315">
        <f>YEAR(tb_investimentos[[#This Row],[DATA]])</f>
        <v>2028</v>
      </c>
      <c r="N315">
        <f>DAY(tb_investimentos[[#This Row],[DATA]])</f>
        <v>15</v>
      </c>
      <c r="O315">
        <f t="shared" si="9"/>
        <v>400</v>
      </c>
      <c r="P315">
        <f>tb_investimentos[[#This Row],[PREÇO MÉDIO PONDERADO]]*tb_investimentos[[#This Row],[QUANTIDADE]]</f>
        <v>400</v>
      </c>
      <c r="Q315" s="58" t="str">
        <f ca="1">IFERROR(_xlfn.XLOOKUP(tb_investimentos[[#This Row],[DESCRIÇÃO]],tb_acoes[Símbolo do ticker],tb_acoes[Preço]),"")</f>
        <v/>
      </c>
      <c r="R315" s="58" t="str">
        <f ca="1">IFERROR(tb_investimentos[[#This Row],[QUANTIDADE]]*tb_investimentos[[#This Row],[PREÇO MERCADO]],"")</f>
        <v/>
      </c>
      <c r="S315" s="58" t="str">
        <f ca="1">IFERROR(tb_investimentos[[#This Row],[VALOR TOTAL MERCADO]]-tb_investimentos[[#This Row],[VALOR TOTAL PONDERADO]],"")</f>
        <v/>
      </c>
      <c r="T315" s="58" t="str">
        <f ca="1">IFERROR(_xlfn.XLOOKUP(tb_investimentos[[#This Row],[DESCRIÇÃO]],'INFO AÇÕES'!E:E,'INFO AÇÕES'!H:H),"")</f>
        <v/>
      </c>
      <c r="U315" s="59" t="str">
        <f ca="1">IFERROR((tb_investimentos[[#This Row],[VALOR TOTAL MERCADO]]-tb_investimentos[[#This Row],[VALOR TOTAL PONDERADO]])/tb_investimentos[[#This Row],[VALOR TOTAL PONDERADO]],"")</f>
        <v/>
      </c>
    </row>
    <row r="316" spans="2:21" hidden="1" x14ac:dyDescent="0.2">
      <c r="B316" s="13" t="s">
        <v>77</v>
      </c>
      <c r="C316" s="72">
        <v>47072</v>
      </c>
      <c r="D316" s="9" t="s">
        <v>78</v>
      </c>
      <c r="E316" s="11" t="str">
        <f>IF(tb_investimentos[[#This Row],[TIPO MOVIMENTAÇÃO]]="Aporte",_xlfn.XLOOKUP(tb_investimentos[[#This Row],[DESCRIÇÃO]],'INFO AÇÕES'!E:E,'INFO AÇÕES'!I:I),"BRL")</f>
        <v>BRL</v>
      </c>
      <c r="F316" s="75" t="s">
        <v>102</v>
      </c>
      <c r="G316" s="11">
        <v>1</v>
      </c>
      <c r="H316" s="12">
        <v>39.9</v>
      </c>
      <c r="I316" s="13" t="s">
        <v>107</v>
      </c>
      <c r="J316" s="51">
        <f t="shared" si="8"/>
        <v>39.9</v>
      </c>
      <c r="K316" s="13" t="s">
        <v>105</v>
      </c>
      <c r="L316">
        <f>MONTH(tb_investimentos[[#This Row],[DATA]])</f>
        <v>11</v>
      </c>
      <c r="M316">
        <f>YEAR(tb_investimentos[[#This Row],[DATA]])</f>
        <v>2028</v>
      </c>
      <c r="N316">
        <f>DAY(tb_investimentos[[#This Row],[DATA]])</f>
        <v>15</v>
      </c>
      <c r="O316">
        <f t="shared" si="9"/>
        <v>59.90000000000002</v>
      </c>
      <c r="P316">
        <f>tb_investimentos[[#This Row],[PREÇO MÉDIO PONDERADO]]*tb_investimentos[[#This Row],[QUANTIDADE]]</f>
        <v>59.90000000000002</v>
      </c>
      <c r="Q316" s="58" t="str">
        <f ca="1">IFERROR(_xlfn.XLOOKUP(tb_investimentos[[#This Row],[DESCRIÇÃO]],tb_acoes[Símbolo do ticker],tb_acoes[Preço]),"")</f>
        <v/>
      </c>
      <c r="R316" s="58" t="str">
        <f ca="1">IFERROR(tb_investimentos[[#This Row],[QUANTIDADE]]*tb_investimentos[[#This Row],[PREÇO MERCADO]],"")</f>
        <v/>
      </c>
      <c r="S316" s="58" t="str">
        <f ca="1">IFERROR(tb_investimentos[[#This Row],[VALOR TOTAL MERCADO]]-tb_investimentos[[#This Row],[VALOR TOTAL PONDERADO]],"")</f>
        <v/>
      </c>
      <c r="T316" s="58" t="str">
        <f ca="1">IFERROR(_xlfn.XLOOKUP(tb_investimentos[[#This Row],[DESCRIÇÃO]],'INFO AÇÕES'!E:E,'INFO AÇÕES'!H:H),"")</f>
        <v/>
      </c>
      <c r="U316" s="59" t="str">
        <f ca="1">IFERROR((tb_investimentos[[#This Row],[VALOR TOTAL MERCADO]]-tb_investimentos[[#This Row],[VALOR TOTAL PONDERADO]])/tb_investimentos[[#This Row],[VALOR TOTAL PONDERADO]],"")</f>
        <v/>
      </c>
    </row>
    <row r="317" spans="2:21" hidden="1" x14ac:dyDescent="0.2">
      <c r="B317" s="13" t="s">
        <v>77</v>
      </c>
      <c r="C317" s="72">
        <v>47072</v>
      </c>
      <c r="D317" s="9" t="s">
        <v>78</v>
      </c>
      <c r="E317" s="11" t="str">
        <f>IF(tb_investimentos[[#This Row],[TIPO MOVIMENTAÇÃO]]="Aporte",_xlfn.XLOOKUP(tb_investimentos[[#This Row],[DESCRIÇÃO]],'INFO AÇÕES'!E:E,'INFO AÇÕES'!I:I),"BRL")</f>
        <v>BRL</v>
      </c>
      <c r="F317" s="75" t="s">
        <v>101</v>
      </c>
      <c r="G317" s="11">
        <v>1</v>
      </c>
      <c r="H317" s="12">
        <v>79.900000000000006</v>
      </c>
      <c r="I317" s="13" t="s">
        <v>107</v>
      </c>
      <c r="J317" s="51">
        <f t="shared" si="8"/>
        <v>79.900000000000006</v>
      </c>
      <c r="K317" s="13" t="s">
        <v>105</v>
      </c>
      <c r="L317">
        <f>MONTH(tb_investimentos[[#This Row],[DATA]])</f>
        <v>11</v>
      </c>
      <c r="M317">
        <f>YEAR(tb_investimentos[[#This Row],[DATA]])</f>
        <v>2028</v>
      </c>
      <c r="N317">
        <f>DAY(tb_investimentos[[#This Row],[DATA]])</f>
        <v>15</v>
      </c>
      <c r="O317">
        <f t="shared" si="9"/>
        <v>59.90000000000002</v>
      </c>
      <c r="P317">
        <f>tb_investimentos[[#This Row],[PREÇO MÉDIO PONDERADO]]*tb_investimentos[[#This Row],[QUANTIDADE]]</f>
        <v>59.90000000000002</v>
      </c>
      <c r="Q317" s="58" t="str">
        <f ca="1">IFERROR(_xlfn.XLOOKUP(tb_investimentos[[#This Row],[DESCRIÇÃO]],tb_acoes[Símbolo do ticker],tb_acoes[Preço]),"")</f>
        <v/>
      </c>
      <c r="R317" s="58" t="str">
        <f ca="1">IFERROR(tb_investimentos[[#This Row],[QUANTIDADE]]*tb_investimentos[[#This Row],[PREÇO MERCADO]],"")</f>
        <v/>
      </c>
      <c r="S317" s="58" t="str">
        <f ca="1">IFERROR(tb_investimentos[[#This Row],[VALOR TOTAL MERCADO]]-tb_investimentos[[#This Row],[VALOR TOTAL PONDERADO]],"")</f>
        <v/>
      </c>
      <c r="T317" s="58" t="str">
        <f ca="1">IFERROR(_xlfn.XLOOKUP(tb_investimentos[[#This Row],[DESCRIÇÃO]],'INFO AÇÕES'!E:E,'INFO AÇÕES'!H:H),"")</f>
        <v/>
      </c>
      <c r="U317" s="59" t="str">
        <f ca="1">IFERROR((tb_investimentos[[#This Row],[VALOR TOTAL MERCADO]]-tb_investimentos[[#This Row],[VALOR TOTAL PONDERADO]])/tb_investimentos[[#This Row],[VALOR TOTAL PONDERADO]],"")</f>
        <v/>
      </c>
    </row>
    <row r="318" spans="2:21" hidden="1" x14ac:dyDescent="0.2">
      <c r="B318" s="13" t="s">
        <v>77</v>
      </c>
      <c r="C318" s="72">
        <v>47072</v>
      </c>
      <c r="D318" s="9" t="s">
        <v>79</v>
      </c>
      <c r="E318" s="11" t="str">
        <f>IF(tb_investimentos[[#This Row],[TIPO MOVIMENTAÇÃO]]="Aporte",_xlfn.XLOOKUP(tb_investimentos[[#This Row],[DESCRIÇÃO]],'INFO AÇÕES'!E:E,'INFO AÇÕES'!I:I),"BRL")</f>
        <v>BRL</v>
      </c>
      <c r="F318" s="75" t="s">
        <v>100</v>
      </c>
      <c r="G318" s="11">
        <v>1</v>
      </c>
      <c r="H318" s="12">
        <v>110</v>
      </c>
      <c r="I318" s="13" t="s">
        <v>107</v>
      </c>
      <c r="J318" s="51">
        <f t="shared" si="8"/>
        <v>110</v>
      </c>
      <c r="K318" s="13" t="s">
        <v>105</v>
      </c>
      <c r="L318">
        <f>MONTH(tb_investimentos[[#This Row],[DATA]])</f>
        <v>11</v>
      </c>
      <c r="M318">
        <f>YEAR(tb_investimentos[[#This Row],[DATA]])</f>
        <v>2028</v>
      </c>
      <c r="N318">
        <f>DAY(tb_investimentos[[#This Row],[DATA]])</f>
        <v>15</v>
      </c>
      <c r="O318">
        <f t="shared" si="9"/>
        <v>110</v>
      </c>
      <c r="P318">
        <f>tb_investimentos[[#This Row],[PREÇO MÉDIO PONDERADO]]*tb_investimentos[[#This Row],[QUANTIDADE]]</f>
        <v>110</v>
      </c>
      <c r="Q318" s="58" t="str">
        <f ca="1">IFERROR(_xlfn.XLOOKUP(tb_investimentos[[#This Row],[DESCRIÇÃO]],tb_acoes[Símbolo do ticker],tb_acoes[Preço]),"")</f>
        <v/>
      </c>
      <c r="R318" s="58" t="str">
        <f ca="1">IFERROR(tb_investimentos[[#This Row],[QUANTIDADE]]*tb_investimentos[[#This Row],[PREÇO MERCADO]],"")</f>
        <v/>
      </c>
      <c r="S318" s="58" t="str">
        <f ca="1">IFERROR(tb_investimentos[[#This Row],[VALOR TOTAL MERCADO]]-tb_investimentos[[#This Row],[VALOR TOTAL PONDERADO]],"")</f>
        <v/>
      </c>
      <c r="T318" s="58" t="str">
        <f ca="1">IFERROR(_xlfn.XLOOKUP(tb_investimentos[[#This Row],[DESCRIÇÃO]],'INFO AÇÕES'!E:E,'INFO AÇÕES'!H:H),"")</f>
        <v/>
      </c>
      <c r="U318" s="59" t="str">
        <f ca="1">IFERROR((tb_investimentos[[#This Row],[VALOR TOTAL MERCADO]]-tb_investimentos[[#This Row],[VALOR TOTAL PONDERADO]])/tb_investimentos[[#This Row],[VALOR TOTAL PONDERADO]],"")</f>
        <v/>
      </c>
    </row>
    <row r="319" spans="2:21" hidden="1" x14ac:dyDescent="0.2">
      <c r="B319" s="13" t="s">
        <v>77</v>
      </c>
      <c r="C319" s="72">
        <v>47072</v>
      </c>
      <c r="D319" s="9" t="s">
        <v>80</v>
      </c>
      <c r="E319" s="11" t="str">
        <f>IF(tb_investimentos[[#This Row],[TIPO MOVIMENTAÇÃO]]="Aporte",_xlfn.XLOOKUP(tb_investimentos[[#This Row],[DESCRIÇÃO]],'INFO AÇÕES'!E:E,'INFO AÇÕES'!I:I),"BRL")</f>
        <v>BRL</v>
      </c>
      <c r="F319" s="75" t="s">
        <v>99</v>
      </c>
      <c r="G319" s="11">
        <v>1</v>
      </c>
      <c r="H319" s="12">
        <v>25</v>
      </c>
      <c r="I319" s="13" t="s">
        <v>107</v>
      </c>
      <c r="J319" s="51">
        <f t="shared" si="8"/>
        <v>25</v>
      </c>
      <c r="K319" s="13" t="s">
        <v>105</v>
      </c>
      <c r="L319">
        <f>MONTH(tb_investimentos[[#This Row],[DATA]])</f>
        <v>11</v>
      </c>
      <c r="M319">
        <f>YEAR(tb_investimentos[[#This Row],[DATA]])</f>
        <v>2028</v>
      </c>
      <c r="N319">
        <f>DAY(tb_investimentos[[#This Row],[DATA]])</f>
        <v>15</v>
      </c>
      <c r="O319">
        <f t="shared" si="9"/>
        <v>25</v>
      </c>
      <c r="P319">
        <f>tb_investimentos[[#This Row],[PREÇO MÉDIO PONDERADO]]*tb_investimentos[[#This Row],[QUANTIDADE]]</f>
        <v>25</v>
      </c>
      <c r="Q319" s="58" t="str">
        <f ca="1">IFERROR(_xlfn.XLOOKUP(tb_investimentos[[#This Row],[DESCRIÇÃO]],tb_acoes[Símbolo do ticker],tb_acoes[Preço]),"")</f>
        <v/>
      </c>
      <c r="R319" s="58" t="str">
        <f ca="1">IFERROR(tb_investimentos[[#This Row],[QUANTIDADE]]*tb_investimentos[[#This Row],[PREÇO MERCADO]],"")</f>
        <v/>
      </c>
      <c r="S319" s="58" t="str">
        <f ca="1">IFERROR(tb_investimentos[[#This Row],[VALOR TOTAL MERCADO]]-tb_investimentos[[#This Row],[VALOR TOTAL PONDERADO]],"")</f>
        <v/>
      </c>
      <c r="T319" s="58" t="str">
        <f ca="1">IFERROR(_xlfn.XLOOKUP(tb_investimentos[[#This Row],[DESCRIÇÃO]],'INFO AÇÕES'!E:E,'INFO AÇÕES'!H:H),"")</f>
        <v/>
      </c>
      <c r="U319" s="59" t="str">
        <f ca="1">IFERROR((tb_investimentos[[#This Row],[VALOR TOTAL MERCADO]]-tb_investimentos[[#This Row],[VALOR TOTAL PONDERADO]])/tb_investimentos[[#This Row],[VALOR TOTAL PONDERADO]],"")</f>
        <v/>
      </c>
    </row>
    <row r="320" spans="2:21" hidden="1" x14ac:dyDescent="0.2">
      <c r="B320" s="13" t="s">
        <v>72</v>
      </c>
      <c r="C320" s="72">
        <v>47092</v>
      </c>
      <c r="D320" s="9" t="s">
        <v>76</v>
      </c>
      <c r="E320" s="11" t="str">
        <f>IF(tb_investimentos[[#This Row],[TIPO MOVIMENTAÇÃO]]="Aporte",_xlfn.XLOOKUP(tb_investimentos[[#This Row],[DESCRIÇÃO]],'INFO AÇÕES'!E:E,'INFO AÇÕES'!I:I),"BRL")</f>
        <v>BRL</v>
      </c>
      <c r="F320" s="75" t="s">
        <v>73</v>
      </c>
      <c r="G320" s="11">
        <v>1</v>
      </c>
      <c r="H320" s="12">
        <v>8000</v>
      </c>
      <c r="I320" s="13" t="s">
        <v>107</v>
      </c>
      <c r="J320" s="51">
        <f t="shared" si="8"/>
        <v>8000</v>
      </c>
      <c r="K320" s="13" t="s">
        <v>105</v>
      </c>
      <c r="L320">
        <f>MONTH(tb_investimentos[[#This Row],[DATA]])</f>
        <v>12</v>
      </c>
      <c r="M320">
        <f>YEAR(tb_investimentos[[#This Row],[DATA]])</f>
        <v>2028</v>
      </c>
      <c r="N320">
        <f>DAY(tb_investimentos[[#This Row],[DATA]])</f>
        <v>5</v>
      </c>
      <c r="O320">
        <f t="shared" si="9"/>
        <v>7801.7948717948721</v>
      </c>
      <c r="P320">
        <f>tb_investimentos[[#This Row],[PREÇO MÉDIO PONDERADO]]*tb_investimentos[[#This Row],[QUANTIDADE]]</f>
        <v>7801.7948717948721</v>
      </c>
      <c r="Q320" s="58" t="str">
        <f ca="1">IFERROR(_xlfn.XLOOKUP(tb_investimentos[[#This Row],[DESCRIÇÃO]],tb_acoes[Símbolo do ticker],tb_acoes[Preço]),"")</f>
        <v/>
      </c>
      <c r="R320" s="58" t="str">
        <f ca="1">IFERROR(tb_investimentos[[#This Row],[QUANTIDADE]]*tb_investimentos[[#This Row],[PREÇO MERCADO]],"")</f>
        <v/>
      </c>
      <c r="S320" s="58" t="str">
        <f ca="1">IFERROR(tb_investimentos[[#This Row],[VALOR TOTAL MERCADO]]-tb_investimentos[[#This Row],[VALOR TOTAL PONDERADO]],"")</f>
        <v/>
      </c>
      <c r="T320" s="58" t="str">
        <f ca="1">IFERROR(_xlfn.XLOOKUP(tb_investimentos[[#This Row],[DESCRIÇÃO]],'INFO AÇÕES'!E:E,'INFO AÇÕES'!H:H),"")</f>
        <v/>
      </c>
      <c r="U320" s="59" t="str">
        <f ca="1">IFERROR((tb_investimentos[[#This Row],[VALOR TOTAL MERCADO]]-tb_investimentos[[#This Row],[VALOR TOTAL PONDERADO]])/tb_investimentos[[#This Row],[VALOR TOTAL PONDERADO]],"")</f>
        <v/>
      </c>
    </row>
    <row r="321" spans="2:21" hidden="1" x14ac:dyDescent="0.2">
      <c r="B321" s="13" t="s">
        <v>39</v>
      </c>
      <c r="C321" s="10">
        <v>47092</v>
      </c>
      <c r="D321" s="9"/>
      <c r="E321" s="11">
        <f ca="1">IF(tb_investimentos[[#This Row],[TIPO MOVIMENTAÇÃO]]="Aporte",_xlfn.XLOOKUP(tb_investimentos[[#This Row],[DESCRIÇÃO]],'INFO AÇÕES'!E:E,'INFO AÇÕES'!I:I),"BRL")</f>
        <v>0</v>
      </c>
      <c r="F321" s="73" t="s">
        <v>10</v>
      </c>
      <c r="G321" s="11">
        <v>1</v>
      </c>
      <c r="H321" s="12">
        <v>3000</v>
      </c>
      <c r="I321" s="13" t="s">
        <v>58</v>
      </c>
      <c r="J321" s="51">
        <f t="shared" si="8"/>
        <v>3000</v>
      </c>
      <c r="K321" s="11" t="s">
        <v>105</v>
      </c>
      <c r="L321">
        <f>MONTH(tb_investimentos[[#This Row],[DATA]])</f>
        <v>12</v>
      </c>
      <c r="M321">
        <f>YEAR(tb_investimentos[[#This Row],[DATA]])</f>
        <v>2028</v>
      </c>
      <c r="N321">
        <f>DAY(tb_investimentos[[#This Row],[DATA]])</f>
        <v>5</v>
      </c>
      <c r="O321" t="e">
        <f t="shared" si="9"/>
        <v>#DIV/0!</v>
      </c>
      <c r="P321" t="e">
        <f>tb_investimentos[[#This Row],[PREÇO MÉDIO PONDERADO]]*tb_investimentos[[#This Row],[QUANTIDADE]]</f>
        <v>#DIV/0!</v>
      </c>
      <c r="Q321" s="58" t="str">
        <f ca="1">IFERROR(_xlfn.XLOOKUP(tb_investimentos[[#This Row],[DESCRIÇÃO]],tb_acoes[Símbolo do ticker],tb_acoes[Preço]),"")</f>
        <v/>
      </c>
      <c r="R321" s="58" t="str">
        <f ca="1">IFERROR(tb_investimentos[[#This Row],[QUANTIDADE]]*tb_investimentos[[#This Row],[PREÇO MERCADO]],"")</f>
        <v/>
      </c>
      <c r="S321" s="58" t="str">
        <f ca="1">IFERROR(tb_investimentos[[#This Row],[VALOR TOTAL MERCADO]]-tb_investimentos[[#This Row],[VALOR TOTAL PONDERADO]],"")</f>
        <v/>
      </c>
      <c r="T321" s="58" t="str">
        <f ca="1">IFERROR(_xlfn.XLOOKUP(tb_investimentos[[#This Row],[DESCRIÇÃO]],'INFO AÇÕES'!E:E,'INFO AÇÕES'!H:H),"")</f>
        <v/>
      </c>
      <c r="U321" s="59" t="str">
        <f ca="1">IFERROR((tb_investimentos[[#This Row],[VALOR TOTAL MERCADO]]-tb_investimentos[[#This Row],[VALOR TOTAL PONDERADO]])/tb_investimentos[[#This Row],[VALOR TOTAL PONDERADO]],"")</f>
        <v/>
      </c>
    </row>
    <row r="322" spans="2:21" hidden="1" x14ac:dyDescent="0.2">
      <c r="B322" s="13" t="s">
        <v>77</v>
      </c>
      <c r="C322" s="10">
        <v>47102</v>
      </c>
      <c r="D322" s="9" t="s">
        <v>88</v>
      </c>
      <c r="E322" s="11" t="str">
        <f>IF(tb_investimentos[[#This Row],[TIPO MOVIMENTAÇÃO]]="Aporte",_xlfn.XLOOKUP(tb_investimentos[[#This Row],[DESCRIÇÃO]],'INFO AÇÕES'!E:E,'INFO AÇÕES'!I:I),"BRL")</f>
        <v>BRL</v>
      </c>
      <c r="F322" s="75" t="s">
        <v>91</v>
      </c>
      <c r="G322" s="11">
        <v>1</v>
      </c>
      <c r="H322" s="12">
        <v>1911.69488</v>
      </c>
      <c r="I322" s="13" t="s">
        <v>107</v>
      </c>
      <c r="J322" s="51">
        <f t="shared" si="8"/>
        <v>1911.69488</v>
      </c>
      <c r="K322" s="13" t="s">
        <v>105</v>
      </c>
      <c r="L322">
        <f>MONTH(tb_investimentos[[#This Row],[DATA]])</f>
        <v>12</v>
      </c>
      <c r="M322">
        <f>YEAR(tb_investimentos[[#This Row],[DATA]])</f>
        <v>2028</v>
      </c>
      <c r="N322">
        <f>DAY(tb_investimentos[[#This Row],[DATA]])</f>
        <v>15</v>
      </c>
      <c r="O322">
        <f t="shared" si="9"/>
        <v>1629.9930261538464</v>
      </c>
      <c r="P322">
        <f>tb_investimentos[[#This Row],[PREÇO MÉDIO PONDERADO]]*tb_investimentos[[#This Row],[QUANTIDADE]]</f>
        <v>1629.9930261538464</v>
      </c>
      <c r="Q322" s="58" t="str">
        <f ca="1">IFERROR(_xlfn.XLOOKUP(tb_investimentos[[#This Row],[DESCRIÇÃO]],tb_acoes[Símbolo do ticker],tb_acoes[Preço]),"")</f>
        <v/>
      </c>
      <c r="R322" s="58" t="str">
        <f ca="1">IFERROR(tb_investimentos[[#This Row],[QUANTIDADE]]*tb_investimentos[[#This Row],[PREÇO MERCADO]],"")</f>
        <v/>
      </c>
      <c r="S322" s="58" t="str">
        <f ca="1">IFERROR(tb_investimentos[[#This Row],[VALOR TOTAL MERCADO]]-tb_investimentos[[#This Row],[VALOR TOTAL PONDERADO]],"")</f>
        <v/>
      </c>
      <c r="T322" s="58" t="str">
        <f ca="1">IFERROR(_xlfn.XLOOKUP(tb_investimentos[[#This Row],[DESCRIÇÃO]],'INFO AÇÕES'!E:E,'INFO AÇÕES'!H:H),"")</f>
        <v/>
      </c>
      <c r="U322" s="59" t="str">
        <f ca="1">IFERROR((tb_investimentos[[#This Row],[VALOR TOTAL MERCADO]]-tb_investimentos[[#This Row],[VALOR TOTAL PONDERADO]])/tb_investimentos[[#This Row],[VALOR TOTAL PONDERADO]],"")</f>
        <v/>
      </c>
    </row>
    <row r="323" spans="2:21" hidden="1" x14ac:dyDescent="0.2">
      <c r="B323" s="13" t="s">
        <v>77</v>
      </c>
      <c r="C323" s="10">
        <v>47102</v>
      </c>
      <c r="D323" s="9" t="s">
        <v>130</v>
      </c>
      <c r="E323" s="11" t="str">
        <f>IF(tb_investimentos[[#This Row],[TIPO MOVIMENTAÇÃO]]="Aporte",_xlfn.XLOOKUP(tb_investimentos[[#This Row],[DESCRIÇÃO]],'INFO AÇÕES'!E:E,'INFO AÇÕES'!I:I),"BRL")</f>
        <v>BRL</v>
      </c>
      <c r="F323" s="75" t="s">
        <v>83</v>
      </c>
      <c r="G323" s="11">
        <v>1</v>
      </c>
      <c r="H323" s="12">
        <v>400</v>
      </c>
      <c r="I323" s="13" t="s">
        <v>107</v>
      </c>
      <c r="J323" s="51">
        <f t="shared" si="8"/>
        <v>400</v>
      </c>
      <c r="K323" s="13" t="s">
        <v>105</v>
      </c>
      <c r="L323">
        <f>MONTH(tb_investimentos[[#This Row],[DATA]])</f>
        <v>12</v>
      </c>
      <c r="M323">
        <f>YEAR(tb_investimentos[[#This Row],[DATA]])</f>
        <v>2028</v>
      </c>
      <c r="N323">
        <f>DAY(tb_investimentos[[#This Row],[DATA]])</f>
        <v>15</v>
      </c>
      <c r="O323">
        <f t="shared" si="9"/>
        <v>400</v>
      </c>
      <c r="P323">
        <f>tb_investimentos[[#This Row],[PREÇO MÉDIO PONDERADO]]*tb_investimentos[[#This Row],[QUANTIDADE]]</f>
        <v>400</v>
      </c>
      <c r="Q323" s="58" t="str">
        <f ca="1">IFERROR(_xlfn.XLOOKUP(tb_investimentos[[#This Row],[DESCRIÇÃO]],tb_acoes[Símbolo do ticker],tb_acoes[Preço]),"")</f>
        <v/>
      </c>
      <c r="R323" s="58" t="str">
        <f ca="1">IFERROR(tb_investimentos[[#This Row],[QUANTIDADE]]*tb_investimentos[[#This Row],[PREÇO MERCADO]],"")</f>
        <v/>
      </c>
      <c r="S323" s="58" t="str">
        <f ca="1">IFERROR(tb_investimentos[[#This Row],[VALOR TOTAL MERCADO]]-tb_investimentos[[#This Row],[VALOR TOTAL PONDERADO]],"")</f>
        <v/>
      </c>
      <c r="T323" s="58" t="str">
        <f ca="1">IFERROR(_xlfn.XLOOKUP(tb_investimentos[[#This Row],[DESCRIÇÃO]],'INFO AÇÕES'!E:E,'INFO AÇÕES'!H:H),"")</f>
        <v/>
      </c>
      <c r="U323" s="59" t="str">
        <f ca="1">IFERROR((tb_investimentos[[#This Row],[VALOR TOTAL MERCADO]]-tb_investimentos[[#This Row],[VALOR TOTAL PONDERADO]])/tb_investimentos[[#This Row],[VALOR TOTAL PONDERADO]],"")</f>
        <v/>
      </c>
    </row>
    <row r="324" spans="2:21" hidden="1" x14ac:dyDescent="0.2">
      <c r="B324" s="13" t="s">
        <v>77</v>
      </c>
      <c r="C324" s="72">
        <v>47102</v>
      </c>
      <c r="D324" s="9" t="s">
        <v>78</v>
      </c>
      <c r="E324" s="11" t="str">
        <f>IF(tb_investimentos[[#This Row],[TIPO MOVIMENTAÇÃO]]="Aporte",_xlfn.XLOOKUP(tb_investimentos[[#This Row],[DESCRIÇÃO]],'INFO AÇÕES'!E:E,'INFO AÇÕES'!I:I),"BRL")</f>
        <v>BRL</v>
      </c>
      <c r="F324" s="75" t="s">
        <v>102</v>
      </c>
      <c r="G324" s="11">
        <v>1</v>
      </c>
      <c r="H324" s="12">
        <v>39.9</v>
      </c>
      <c r="I324" s="13" t="s">
        <v>107</v>
      </c>
      <c r="J324" s="51">
        <f t="shared" si="8"/>
        <v>39.9</v>
      </c>
      <c r="K324" s="13" t="s">
        <v>105</v>
      </c>
      <c r="L324">
        <f>MONTH(tb_investimentos[[#This Row],[DATA]])</f>
        <v>12</v>
      </c>
      <c r="M324">
        <f>YEAR(tb_investimentos[[#This Row],[DATA]])</f>
        <v>2028</v>
      </c>
      <c r="N324">
        <f>DAY(tb_investimentos[[#This Row],[DATA]])</f>
        <v>15</v>
      </c>
      <c r="O324">
        <f t="shared" si="9"/>
        <v>59.90000000000002</v>
      </c>
      <c r="P324">
        <f>tb_investimentos[[#This Row],[PREÇO MÉDIO PONDERADO]]*tb_investimentos[[#This Row],[QUANTIDADE]]</f>
        <v>59.90000000000002</v>
      </c>
      <c r="Q324" s="58" t="str">
        <f ca="1">IFERROR(_xlfn.XLOOKUP(tb_investimentos[[#This Row],[DESCRIÇÃO]],tb_acoes[Símbolo do ticker],tb_acoes[Preço]),"")</f>
        <v/>
      </c>
      <c r="R324" s="58" t="str">
        <f ca="1">IFERROR(tb_investimentos[[#This Row],[QUANTIDADE]]*tb_investimentos[[#This Row],[PREÇO MERCADO]],"")</f>
        <v/>
      </c>
      <c r="S324" s="58" t="str">
        <f ca="1">IFERROR(tb_investimentos[[#This Row],[VALOR TOTAL MERCADO]]-tb_investimentos[[#This Row],[VALOR TOTAL PONDERADO]],"")</f>
        <v/>
      </c>
      <c r="T324" s="58" t="str">
        <f ca="1">IFERROR(_xlfn.XLOOKUP(tb_investimentos[[#This Row],[DESCRIÇÃO]],'INFO AÇÕES'!E:E,'INFO AÇÕES'!H:H),"")</f>
        <v/>
      </c>
      <c r="U324" s="59" t="str">
        <f ca="1">IFERROR((tb_investimentos[[#This Row],[VALOR TOTAL MERCADO]]-tb_investimentos[[#This Row],[VALOR TOTAL PONDERADO]])/tb_investimentos[[#This Row],[VALOR TOTAL PONDERADO]],"")</f>
        <v/>
      </c>
    </row>
    <row r="325" spans="2:21" hidden="1" x14ac:dyDescent="0.2">
      <c r="B325" s="13" t="s">
        <v>77</v>
      </c>
      <c r="C325" s="72">
        <v>47102</v>
      </c>
      <c r="D325" s="9" t="s">
        <v>78</v>
      </c>
      <c r="E325" s="11" t="str">
        <f>IF(tb_investimentos[[#This Row],[TIPO MOVIMENTAÇÃO]]="Aporte",_xlfn.XLOOKUP(tb_investimentos[[#This Row],[DESCRIÇÃO]],'INFO AÇÕES'!E:E,'INFO AÇÕES'!I:I),"BRL")</f>
        <v>BRL</v>
      </c>
      <c r="F325" s="75" t="s">
        <v>101</v>
      </c>
      <c r="G325" s="11">
        <v>1</v>
      </c>
      <c r="H325" s="12">
        <v>79.900000000000006</v>
      </c>
      <c r="I325" s="13" t="s">
        <v>107</v>
      </c>
      <c r="J325" s="51">
        <f t="shared" ref="J325:J388" si="10">H325*G325</f>
        <v>79.900000000000006</v>
      </c>
      <c r="K325" s="13" t="s">
        <v>105</v>
      </c>
      <c r="L325">
        <f>MONTH(tb_investimentos[[#This Row],[DATA]])</f>
        <v>12</v>
      </c>
      <c r="M325">
        <f>YEAR(tb_investimentos[[#This Row],[DATA]])</f>
        <v>2028</v>
      </c>
      <c r="N325">
        <f>DAY(tb_investimentos[[#This Row],[DATA]])</f>
        <v>15</v>
      </c>
      <c r="O325">
        <f t="shared" ref="O325:O388" si="11">SUMIF($D$5:$D$10000, D325, $J$5:$J$10000) / SUMIF($D$5:$D$10000, D325, $G$5:$G$10000)</f>
        <v>59.90000000000002</v>
      </c>
      <c r="P325">
        <f>tb_investimentos[[#This Row],[PREÇO MÉDIO PONDERADO]]*tb_investimentos[[#This Row],[QUANTIDADE]]</f>
        <v>59.90000000000002</v>
      </c>
      <c r="Q325" s="58" t="str">
        <f ca="1">IFERROR(_xlfn.XLOOKUP(tb_investimentos[[#This Row],[DESCRIÇÃO]],tb_acoes[Símbolo do ticker],tb_acoes[Preço]),"")</f>
        <v/>
      </c>
      <c r="R325" s="58" t="str">
        <f ca="1">IFERROR(tb_investimentos[[#This Row],[QUANTIDADE]]*tb_investimentos[[#This Row],[PREÇO MERCADO]],"")</f>
        <v/>
      </c>
      <c r="S325" s="58" t="str">
        <f ca="1">IFERROR(tb_investimentos[[#This Row],[VALOR TOTAL MERCADO]]-tb_investimentos[[#This Row],[VALOR TOTAL PONDERADO]],"")</f>
        <v/>
      </c>
      <c r="T325" s="58" t="str">
        <f ca="1">IFERROR(_xlfn.XLOOKUP(tb_investimentos[[#This Row],[DESCRIÇÃO]],'INFO AÇÕES'!E:E,'INFO AÇÕES'!H:H),"")</f>
        <v/>
      </c>
      <c r="U325" s="59" t="str">
        <f ca="1">IFERROR((tb_investimentos[[#This Row],[VALOR TOTAL MERCADO]]-tb_investimentos[[#This Row],[VALOR TOTAL PONDERADO]])/tb_investimentos[[#This Row],[VALOR TOTAL PONDERADO]],"")</f>
        <v/>
      </c>
    </row>
    <row r="326" spans="2:21" hidden="1" x14ac:dyDescent="0.2">
      <c r="B326" s="13" t="s">
        <v>77</v>
      </c>
      <c r="C326" s="72">
        <v>47102</v>
      </c>
      <c r="D326" s="9" t="s">
        <v>79</v>
      </c>
      <c r="E326" s="11" t="str">
        <f>IF(tb_investimentos[[#This Row],[TIPO MOVIMENTAÇÃO]]="Aporte",_xlfn.XLOOKUP(tb_investimentos[[#This Row],[DESCRIÇÃO]],'INFO AÇÕES'!E:E,'INFO AÇÕES'!I:I),"BRL")</f>
        <v>BRL</v>
      </c>
      <c r="F326" s="75" t="s">
        <v>100</v>
      </c>
      <c r="G326" s="11">
        <v>1</v>
      </c>
      <c r="H326" s="12">
        <v>110</v>
      </c>
      <c r="I326" s="13" t="s">
        <v>107</v>
      </c>
      <c r="J326" s="51">
        <f t="shared" si="10"/>
        <v>110</v>
      </c>
      <c r="K326" s="13" t="s">
        <v>105</v>
      </c>
      <c r="L326">
        <f>MONTH(tb_investimentos[[#This Row],[DATA]])</f>
        <v>12</v>
      </c>
      <c r="M326">
        <f>YEAR(tb_investimentos[[#This Row],[DATA]])</f>
        <v>2028</v>
      </c>
      <c r="N326">
        <f>DAY(tb_investimentos[[#This Row],[DATA]])</f>
        <v>15</v>
      </c>
      <c r="O326">
        <f t="shared" si="11"/>
        <v>110</v>
      </c>
      <c r="P326">
        <f>tb_investimentos[[#This Row],[PREÇO MÉDIO PONDERADO]]*tb_investimentos[[#This Row],[QUANTIDADE]]</f>
        <v>110</v>
      </c>
      <c r="Q326" s="58" t="str">
        <f ca="1">IFERROR(_xlfn.XLOOKUP(tb_investimentos[[#This Row],[DESCRIÇÃO]],tb_acoes[Símbolo do ticker],tb_acoes[Preço]),"")</f>
        <v/>
      </c>
      <c r="R326" s="58" t="str">
        <f ca="1">IFERROR(tb_investimentos[[#This Row],[QUANTIDADE]]*tb_investimentos[[#This Row],[PREÇO MERCADO]],"")</f>
        <v/>
      </c>
      <c r="S326" s="58" t="str">
        <f ca="1">IFERROR(tb_investimentos[[#This Row],[VALOR TOTAL MERCADO]]-tb_investimentos[[#This Row],[VALOR TOTAL PONDERADO]],"")</f>
        <v/>
      </c>
      <c r="T326" s="58" t="str">
        <f ca="1">IFERROR(_xlfn.XLOOKUP(tb_investimentos[[#This Row],[DESCRIÇÃO]],'INFO AÇÕES'!E:E,'INFO AÇÕES'!H:H),"")</f>
        <v/>
      </c>
      <c r="U326" s="59" t="str">
        <f ca="1">IFERROR((tb_investimentos[[#This Row],[VALOR TOTAL MERCADO]]-tb_investimentos[[#This Row],[VALOR TOTAL PONDERADO]])/tb_investimentos[[#This Row],[VALOR TOTAL PONDERADO]],"")</f>
        <v/>
      </c>
    </row>
    <row r="327" spans="2:21" hidden="1" x14ac:dyDescent="0.2">
      <c r="B327" s="13" t="s">
        <v>77</v>
      </c>
      <c r="C327" s="72">
        <v>47102</v>
      </c>
      <c r="D327" s="9" t="s">
        <v>80</v>
      </c>
      <c r="E327" s="11" t="str">
        <f>IF(tb_investimentos[[#This Row],[TIPO MOVIMENTAÇÃO]]="Aporte",_xlfn.XLOOKUP(tb_investimentos[[#This Row],[DESCRIÇÃO]],'INFO AÇÕES'!E:E,'INFO AÇÕES'!I:I),"BRL")</f>
        <v>BRL</v>
      </c>
      <c r="F327" s="75" t="s">
        <v>99</v>
      </c>
      <c r="G327" s="11">
        <v>1</v>
      </c>
      <c r="H327" s="12">
        <v>25</v>
      </c>
      <c r="I327" s="13" t="s">
        <v>107</v>
      </c>
      <c r="J327" s="51">
        <f t="shared" si="10"/>
        <v>25</v>
      </c>
      <c r="K327" s="13" t="s">
        <v>105</v>
      </c>
      <c r="L327">
        <f>MONTH(tb_investimentos[[#This Row],[DATA]])</f>
        <v>12</v>
      </c>
      <c r="M327">
        <f>YEAR(tb_investimentos[[#This Row],[DATA]])</f>
        <v>2028</v>
      </c>
      <c r="N327">
        <f>DAY(tb_investimentos[[#This Row],[DATA]])</f>
        <v>15</v>
      </c>
      <c r="O327">
        <f t="shared" si="11"/>
        <v>25</v>
      </c>
      <c r="P327">
        <f>tb_investimentos[[#This Row],[PREÇO MÉDIO PONDERADO]]*tb_investimentos[[#This Row],[QUANTIDADE]]</f>
        <v>25</v>
      </c>
      <c r="Q327" s="58" t="str">
        <f ca="1">IFERROR(_xlfn.XLOOKUP(tb_investimentos[[#This Row],[DESCRIÇÃO]],tb_acoes[Símbolo do ticker],tb_acoes[Preço]),"")</f>
        <v/>
      </c>
      <c r="R327" s="58" t="str">
        <f ca="1">IFERROR(tb_investimentos[[#This Row],[QUANTIDADE]]*tb_investimentos[[#This Row],[PREÇO MERCADO]],"")</f>
        <v/>
      </c>
      <c r="S327" s="58" t="str">
        <f ca="1">IFERROR(tb_investimentos[[#This Row],[VALOR TOTAL MERCADO]]-tb_investimentos[[#This Row],[VALOR TOTAL PONDERADO]],"")</f>
        <v/>
      </c>
      <c r="T327" s="58" t="str">
        <f ca="1">IFERROR(_xlfn.XLOOKUP(tb_investimentos[[#This Row],[DESCRIÇÃO]],'INFO AÇÕES'!E:E,'INFO AÇÕES'!H:H),"")</f>
        <v/>
      </c>
      <c r="U327" s="59" t="str">
        <f ca="1">IFERROR((tb_investimentos[[#This Row],[VALOR TOTAL MERCADO]]-tb_investimentos[[#This Row],[VALOR TOTAL PONDERADO]])/tb_investimentos[[#This Row],[VALOR TOTAL PONDERADO]],"")</f>
        <v/>
      </c>
    </row>
    <row r="328" spans="2:21" hidden="1" x14ac:dyDescent="0.2">
      <c r="B328" s="13" t="s">
        <v>72</v>
      </c>
      <c r="C328" s="72">
        <v>47123</v>
      </c>
      <c r="D328" s="9" t="s">
        <v>76</v>
      </c>
      <c r="E328" s="11" t="str">
        <f>IF(tb_investimentos[[#This Row],[TIPO MOVIMENTAÇÃO]]="Aporte",_xlfn.XLOOKUP(tb_investimentos[[#This Row],[DESCRIÇÃO]],'INFO AÇÕES'!E:E,'INFO AÇÕES'!I:I),"BRL")</f>
        <v>BRL</v>
      </c>
      <c r="F328" s="75" t="s">
        <v>73</v>
      </c>
      <c r="G328" s="11">
        <v>1</v>
      </c>
      <c r="H328" s="12">
        <v>8000</v>
      </c>
      <c r="I328" s="13" t="s">
        <v>107</v>
      </c>
      <c r="J328" s="51">
        <f t="shared" si="10"/>
        <v>8000</v>
      </c>
      <c r="K328" s="13" t="s">
        <v>105</v>
      </c>
      <c r="L328">
        <f>MONTH(tb_investimentos[[#This Row],[DATA]])</f>
        <v>1</v>
      </c>
      <c r="M328">
        <f>YEAR(tb_investimentos[[#This Row],[DATA]])</f>
        <v>2029</v>
      </c>
      <c r="N328">
        <f>DAY(tb_investimentos[[#This Row],[DATA]])</f>
        <v>5</v>
      </c>
      <c r="O328">
        <f t="shared" si="11"/>
        <v>7801.7948717948721</v>
      </c>
      <c r="P328">
        <f>tb_investimentos[[#This Row],[PREÇO MÉDIO PONDERADO]]*tb_investimentos[[#This Row],[QUANTIDADE]]</f>
        <v>7801.7948717948721</v>
      </c>
      <c r="Q328" s="58" t="str">
        <f ca="1">IFERROR(_xlfn.XLOOKUP(tb_investimentos[[#This Row],[DESCRIÇÃO]],tb_acoes[Símbolo do ticker],tb_acoes[Preço]),"")</f>
        <v/>
      </c>
      <c r="R328" s="58" t="str">
        <f ca="1">IFERROR(tb_investimentos[[#This Row],[QUANTIDADE]]*tb_investimentos[[#This Row],[PREÇO MERCADO]],"")</f>
        <v/>
      </c>
      <c r="S328" s="58" t="str">
        <f ca="1">IFERROR(tb_investimentos[[#This Row],[VALOR TOTAL MERCADO]]-tb_investimentos[[#This Row],[VALOR TOTAL PONDERADO]],"")</f>
        <v/>
      </c>
      <c r="T328" s="58" t="str">
        <f ca="1">IFERROR(_xlfn.XLOOKUP(tb_investimentos[[#This Row],[DESCRIÇÃO]],'INFO AÇÕES'!E:E,'INFO AÇÕES'!H:H),"")</f>
        <v/>
      </c>
      <c r="U328" s="59" t="str">
        <f ca="1">IFERROR((tb_investimentos[[#This Row],[VALOR TOTAL MERCADO]]-tb_investimentos[[#This Row],[VALOR TOTAL PONDERADO]])/tb_investimentos[[#This Row],[VALOR TOTAL PONDERADO]],"")</f>
        <v/>
      </c>
    </row>
    <row r="329" spans="2:21" hidden="1" x14ac:dyDescent="0.2">
      <c r="B329" s="13" t="s">
        <v>39</v>
      </c>
      <c r="C329" s="10">
        <v>47123</v>
      </c>
      <c r="D329" s="9"/>
      <c r="E329" s="11">
        <f ca="1">IF(tb_investimentos[[#This Row],[TIPO MOVIMENTAÇÃO]]="Aporte",_xlfn.XLOOKUP(tb_investimentos[[#This Row],[DESCRIÇÃO]],'INFO AÇÕES'!E:E,'INFO AÇÕES'!I:I),"BRL")</f>
        <v>0</v>
      </c>
      <c r="F329" s="73" t="s">
        <v>10</v>
      </c>
      <c r="G329" s="11">
        <v>1</v>
      </c>
      <c r="H329" s="12">
        <v>3000</v>
      </c>
      <c r="I329" s="13" t="s">
        <v>58</v>
      </c>
      <c r="J329" s="51">
        <f t="shared" si="10"/>
        <v>3000</v>
      </c>
      <c r="K329" s="11" t="s">
        <v>105</v>
      </c>
      <c r="L329">
        <f>MONTH(tb_investimentos[[#This Row],[DATA]])</f>
        <v>1</v>
      </c>
      <c r="M329">
        <f>YEAR(tb_investimentos[[#This Row],[DATA]])</f>
        <v>2029</v>
      </c>
      <c r="N329">
        <f>DAY(tb_investimentos[[#This Row],[DATA]])</f>
        <v>5</v>
      </c>
      <c r="O329" t="e">
        <f t="shared" si="11"/>
        <v>#DIV/0!</v>
      </c>
      <c r="P329" t="e">
        <f>tb_investimentos[[#This Row],[PREÇO MÉDIO PONDERADO]]*tb_investimentos[[#This Row],[QUANTIDADE]]</f>
        <v>#DIV/0!</v>
      </c>
      <c r="Q329" s="58" t="str">
        <f ca="1">IFERROR(_xlfn.XLOOKUP(tb_investimentos[[#This Row],[DESCRIÇÃO]],tb_acoes[Símbolo do ticker],tb_acoes[Preço]),"")</f>
        <v/>
      </c>
      <c r="R329" s="58" t="str">
        <f ca="1">IFERROR(tb_investimentos[[#This Row],[QUANTIDADE]]*tb_investimentos[[#This Row],[PREÇO MERCADO]],"")</f>
        <v/>
      </c>
      <c r="S329" s="58" t="str">
        <f ca="1">IFERROR(tb_investimentos[[#This Row],[VALOR TOTAL MERCADO]]-tb_investimentos[[#This Row],[VALOR TOTAL PONDERADO]],"")</f>
        <v/>
      </c>
      <c r="T329" s="58" t="str">
        <f ca="1">IFERROR(_xlfn.XLOOKUP(tb_investimentos[[#This Row],[DESCRIÇÃO]],'INFO AÇÕES'!E:E,'INFO AÇÕES'!H:H),"")</f>
        <v/>
      </c>
      <c r="U329" s="59" t="str">
        <f ca="1">IFERROR((tb_investimentos[[#This Row],[VALOR TOTAL MERCADO]]-tb_investimentos[[#This Row],[VALOR TOTAL PONDERADO]])/tb_investimentos[[#This Row],[VALOR TOTAL PONDERADO]],"")</f>
        <v/>
      </c>
    </row>
    <row r="330" spans="2:21" hidden="1" x14ac:dyDescent="0.2">
      <c r="B330" s="13" t="s">
        <v>77</v>
      </c>
      <c r="C330" s="10">
        <v>47133</v>
      </c>
      <c r="D330" s="9" t="s">
        <v>88</v>
      </c>
      <c r="E330" s="11" t="str">
        <f>IF(tb_investimentos[[#This Row],[TIPO MOVIMENTAÇÃO]]="Aporte",_xlfn.XLOOKUP(tb_investimentos[[#This Row],[DESCRIÇÃO]],'INFO AÇÕES'!E:E,'INFO AÇÕES'!I:I),"BRL")</f>
        <v>BRL</v>
      </c>
      <c r="F330" s="75" t="s">
        <v>91</v>
      </c>
      <c r="G330" s="11">
        <v>1</v>
      </c>
      <c r="H330" s="12">
        <v>1928.4919199999999</v>
      </c>
      <c r="I330" s="13" t="s">
        <v>107</v>
      </c>
      <c r="J330" s="51">
        <f t="shared" si="10"/>
        <v>1928.4919199999999</v>
      </c>
      <c r="K330" s="13" t="s">
        <v>105</v>
      </c>
      <c r="L330">
        <f>MONTH(tb_investimentos[[#This Row],[DATA]])</f>
        <v>1</v>
      </c>
      <c r="M330">
        <f>YEAR(tb_investimentos[[#This Row],[DATA]])</f>
        <v>2029</v>
      </c>
      <c r="N330">
        <f>DAY(tb_investimentos[[#This Row],[DATA]])</f>
        <v>15</v>
      </c>
      <c r="O330">
        <f t="shared" si="11"/>
        <v>1629.9930261538464</v>
      </c>
      <c r="P330">
        <f>tb_investimentos[[#This Row],[PREÇO MÉDIO PONDERADO]]*tb_investimentos[[#This Row],[QUANTIDADE]]</f>
        <v>1629.9930261538464</v>
      </c>
      <c r="Q330" s="58" t="str">
        <f ca="1">IFERROR(_xlfn.XLOOKUP(tb_investimentos[[#This Row],[DESCRIÇÃO]],tb_acoes[Símbolo do ticker],tb_acoes[Preço]),"")</f>
        <v/>
      </c>
      <c r="R330" s="58" t="str">
        <f ca="1">IFERROR(tb_investimentos[[#This Row],[QUANTIDADE]]*tb_investimentos[[#This Row],[PREÇO MERCADO]],"")</f>
        <v/>
      </c>
      <c r="S330" s="58" t="str">
        <f ca="1">IFERROR(tb_investimentos[[#This Row],[VALOR TOTAL MERCADO]]-tb_investimentos[[#This Row],[VALOR TOTAL PONDERADO]],"")</f>
        <v/>
      </c>
      <c r="T330" s="58" t="str">
        <f ca="1">IFERROR(_xlfn.XLOOKUP(tb_investimentos[[#This Row],[DESCRIÇÃO]],'INFO AÇÕES'!E:E,'INFO AÇÕES'!H:H),"")</f>
        <v/>
      </c>
      <c r="U330" s="59" t="str">
        <f ca="1">IFERROR((tb_investimentos[[#This Row],[VALOR TOTAL MERCADO]]-tb_investimentos[[#This Row],[VALOR TOTAL PONDERADO]])/tb_investimentos[[#This Row],[VALOR TOTAL PONDERADO]],"")</f>
        <v/>
      </c>
    </row>
    <row r="331" spans="2:21" hidden="1" x14ac:dyDescent="0.2">
      <c r="B331" s="13" t="s">
        <v>77</v>
      </c>
      <c r="C331" s="10">
        <v>47133</v>
      </c>
      <c r="D331" s="9" t="s">
        <v>130</v>
      </c>
      <c r="E331" s="11" t="str">
        <f>IF(tb_investimentos[[#This Row],[TIPO MOVIMENTAÇÃO]]="Aporte",_xlfn.XLOOKUP(tb_investimentos[[#This Row],[DESCRIÇÃO]],'INFO AÇÕES'!E:E,'INFO AÇÕES'!I:I),"BRL")</f>
        <v>BRL</v>
      </c>
      <c r="F331" s="75" t="s">
        <v>83</v>
      </c>
      <c r="G331" s="11">
        <v>1</v>
      </c>
      <c r="H331" s="12">
        <v>400</v>
      </c>
      <c r="I331" s="13" t="s">
        <v>107</v>
      </c>
      <c r="J331" s="51">
        <f t="shared" si="10"/>
        <v>400</v>
      </c>
      <c r="K331" s="13" t="s">
        <v>105</v>
      </c>
      <c r="L331">
        <f>MONTH(tb_investimentos[[#This Row],[DATA]])</f>
        <v>1</v>
      </c>
      <c r="M331">
        <f>YEAR(tb_investimentos[[#This Row],[DATA]])</f>
        <v>2029</v>
      </c>
      <c r="N331">
        <f>DAY(tb_investimentos[[#This Row],[DATA]])</f>
        <v>15</v>
      </c>
      <c r="O331">
        <f t="shared" si="11"/>
        <v>400</v>
      </c>
      <c r="P331">
        <f>tb_investimentos[[#This Row],[PREÇO MÉDIO PONDERADO]]*tb_investimentos[[#This Row],[QUANTIDADE]]</f>
        <v>400</v>
      </c>
      <c r="Q331" s="58" t="str">
        <f ca="1">IFERROR(_xlfn.XLOOKUP(tb_investimentos[[#This Row],[DESCRIÇÃO]],tb_acoes[Símbolo do ticker],tb_acoes[Preço]),"")</f>
        <v/>
      </c>
      <c r="R331" s="58" t="str">
        <f ca="1">IFERROR(tb_investimentos[[#This Row],[QUANTIDADE]]*tb_investimentos[[#This Row],[PREÇO MERCADO]],"")</f>
        <v/>
      </c>
      <c r="S331" s="58" t="str">
        <f ca="1">IFERROR(tb_investimentos[[#This Row],[VALOR TOTAL MERCADO]]-tb_investimentos[[#This Row],[VALOR TOTAL PONDERADO]],"")</f>
        <v/>
      </c>
      <c r="T331" s="58" t="str">
        <f ca="1">IFERROR(_xlfn.XLOOKUP(tb_investimentos[[#This Row],[DESCRIÇÃO]],'INFO AÇÕES'!E:E,'INFO AÇÕES'!H:H),"")</f>
        <v/>
      </c>
      <c r="U331" s="59" t="str">
        <f ca="1">IFERROR((tb_investimentos[[#This Row],[VALOR TOTAL MERCADO]]-tb_investimentos[[#This Row],[VALOR TOTAL PONDERADO]])/tb_investimentos[[#This Row],[VALOR TOTAL PONDERADO]],"")</f>
        <v/>
      </c>
    </row>
    <row r="332" spans="2:21" hidden="1" x14ac:dyDescent="0.2">
      <c r="B332" s="13" t="s">
        <v>77</v>
      </c>
      <c r="C332" s="72">
        <v>47133</v>
      </c>
      <c r="D332" s="9" t="s">
        <v>78</v>
      </c>
      <c r="E332" s="11" t="str">
        <f>IF(tb_investimentos[[#This Row],[TIPO MOVIMENTAÇÃO]]="Aporte",_xlfn.XLOOKUP(tb_investimentos[[#This Row],[DESCRIÇÃO]],'INFO AÇÕES'!E:E,'INFO AÇÕES'!I:I),"BRL")</f>
        <v>BRL</v>
      </c>
      <c r="F332" s="75" t="s">
        <v>102</v>
      </c>
      <c r="G332" s="11">
        <v>1</v>
      </c>
      <c r="H332" s="12">
        <v>39.9</v>
      </c>
      <c r="I332" s="13" t="s">
        <v>107</v>
      </c>
      <c r="J332" s="51">
        <f t="shared" si="10"/>
        <v>39.9</v>
      </c>
      <c r="K332" s="13" t="s">
        <v>105</v>
      </c>
      <c r="L332">
        <f>MONTH(tb_investimentos[[#This Row],[DATA]])</f>
        <v>1</v>
      </c>
      <c r="M332">
        <f>YEAR(tb_investimentos[[#This Row],[DATA]])</f>
        <v>2029</v>
      </c>
      <c r="N332">
        <f>DAY(tb_investimentos[[#This Row],[DATA]])</f>
        <v>15</v>
      </c>
      <c r="O332">
        <f t="shared" si="11"/>
        <v>59.90000000000002</v>
      </c>
      <c r="P332">
        <f>tb_investimentos[[#This Row],[PREÇO MÉDIO PONDERADO]]*tb_investimentos[[#This Row],[QUANTIDADE]]</f>
        <v>59.90000000000002</v>
      </c>
      <c r="Q332" s="58" t="str">
        <f ca="1">IFERROR(_xlfn.XLOOKUP(tb_investimentos[[#This Row],[DESCRIÇÃO]],tb_acoes[Símbolo do ticker],tb_acoes[Preço]),"")</f>
        <v/>
      </c>
      <c r="R332" s="58" t="str">
        <f ca="1">IFERROR(tb_investimentos[[#This Row],[QUANTIDADE]]*tb_investimentos[[#This Row],[PREÇO MERCADO]],"")</f>
        <v/>
      </c>
      <c r="S332" s="58" t="str">
        <f ca="1">IFERROR(tb_investimentos[[#This Row],[VALOR TOTAL MERCADO]]-tb_investimentos[[#This Row],[VALOR TOTAL PONDERADO]],"")</f>
        <v/>
      </c>
      <c r="T332" s="58" t="str">
        <f ca="1">IFERROR(_xlfn.XLOOKUP(tb_investimentos[[#This Row],[DESCRIÇÃO]],'INFO AÇÕES'!E:E,'INFO AÇÕES'!H:H),"")</f>
        <v/>
      </c>
      <c r="U332" s="59" t="str">
        <f ca="1">IFERROR((tb_investimentos[[#This Row],[VALOR TOTAL MERCADO]]-tb_investimentos[[#This Row],[VALOR TOTAL PONDERADO]])/tb_investimentos[[#This Row],[VALOR TOTAL PONDERADO]],"")</f>
        <v/>
      </c>
    </row>
    <row r="333" spans="2:21" hidden="1" x14ac:dyDescent="0.2">
      <c r="B333" s="13" t="s">
        <v>77</v>
      </c>
      <c r="C333" s="72">
        <v>47133</v>
      </c>
      <c r="D333" s="9" t="s">
        <v>78</v>
      </c>
      <c r="E333" s="11" t="str">
        <f>IF(tb_investimentos[[#This Row],[TIPO MOVIMENTAÇÃO]]="Aporte",_xlfn.XLOOKUP(tb_investimentos[[#This Row],[DESCRIÇÃO]],'INFO AÇÕES'!E:E,'INFO AÇÕES'!I:I),"BRL")</f>
        <v>BRL</v>
      </c>
      <c r="F333" s="75" t="s">
        <v>101</v>
      </c>
      <c r="G333" s="11">
        <v>1</v>
      </c>
      <c r="H333" s="12">
        <v>79.900000000000006</v>
      </c>
      <c r="I333" s="13" t="s">
        <v>107</v>
      </c>
      <c r="J333" s="51">
        <f t="shared" si="10"/>
        <v>79.900000000000006</v>
      </c>
      <c r="K333" s="13" t="s">
        <v>105</v>
      </c>
      <c r="L333">
        <f>MONTH(tb_investimentos[[#This Row],[DATA]])</f>
        <v>1</v>
      </c>
      <c r="M333">
        <f>YEAR(tb_investimentos[[#This Row],[DATA]])</f>
        <v>2029</v>
      </c>
      <c r="N333">
        <f>DAY(tb_investimentos[[#This Row],[DATA]])</f>
        <v>15</v>
      </c>
      <c r="O333">
        <f t="shared" si="11"/>
        <v>59.90000000000002</v>
      </c>
      <c r="P333">
        <f>tb_investimentos[[#This Row],[PREÇO MÉDIO PONDERADO]]*tb_investimentos[[#This Row],[QUANTIDADE]]</f>
        <v>59.90000000000002</v>
      </c>
      <c r="Q333" s="58" t="str">
        <f ca="1">IFERROR(_xlfn.XLOOKUP(tb_investimentos[[#This Row],[DESCRIÇÃO]],tb_acoes[Símbolo do ticker],tb_acoes[Preço]),"")</f>
        <v/>
      </c>
      <c r="R333" s="58" t="str">
        <f ca="1">IFERROR(tb_investimentos[[#This Row],[QUANTIDADE]]*tb_investimentos[[#This Row],[PREÇO MERCADO]],"")</f>
        <v/>
      </c>
      <c r="S333" s="58" t="str">
        <f ca="1">IFERROR(tb_investimentos[[#This Row],[VALOR TOTAL MERCADO]]-tb_investimentos[[#This Row],[VALOR TOTAL PONDERADO]],"")</f>
        <v/>
      </c>
      <c r="T333" s="58" t="str">
        <f ca="1">IFERROR(_xlfn.XLOOKUP(tb_investimentos[[#This Row],[DESCRIÇÃO]],'INFO AÇÕES'!E:E,'INFO AÇÕES'!H:H),"")</f>
        <v/>
      </c>
      <c r="U333" s="59" t="str">
        <f ca="1">IFERROR((tb_investimentos[[#This Row],[VALOR TOTAL MERCADO]]-tb_investimentos[[#This Row],[VALOR TOTAL PONDERADO]])/tb_investimentos[[#This Row],[VALOR TOTAL PONDERADO]],"")</f>
        <v/>
      </c>
    </row>
    <row r="334" spans="2:21" hidden="1" x14ac:dyDescent="0.2">
      <c r="B334" s="13" t="s">
        <v>77</v>
      </c>
      <c r="C334" s="72">
        <v>47133</v>
      </c>
      <c r="D334" s="9" t="s">
        <v>79</v>
      </c>
      <c r="E334" s="11" t="str">
        <f>IF(tb_investimentos[[#This Row],[TIPO MOVIMENTAÇÃO]]="Aporte",_xlfn.XLOOKUP(tb_investimentos[[#This Row],[DESCRIÇÃO]],'INFO AÇÕES'!E:E,'INFO AÇÕES'!I:I),"BRL")</f>
        <v>BRL</v>
      </c>
      <c r="F334" s="75" t="s">
        <v>100</v>
      </c>
      <c r="G334" s="11">
        <v>1</v>
      </c>
      <c r="H334" s="12">
        <v>110</v>
      </c>
      <c r="I334" s="13" t="s">
        <v>107</v>
      </c>
      <c r="J334" s="51">
        <f t="shared" si="10"/>
        <v>110</v>
      </c>
      <c r="K334" s="13" t="s">
        <v>105</v>
      </c>
      <c r="L334">
        <f>MONTH(tb_investimentos[[#This Row],[DATA]])</f>
        <v>1</v>
      </c>
      <c r="M334">
        <f>YEAR(tb_investimentos[[#This Row],[DATA]])</f>
        <v>2029</v>
      </c>
      <c r="N334">
        <f>DAY(tb_investimentos[[#This Row],[DATA]])</f>
        <v>15</v>
      </c>
      <c r="O334">
        <f t="shared" si="11"/>
        <v>110</v>
      </c>
      <c r="P334">
        <f>tb_investimentos[[#This Row],[PREÇO MÉDIO PONDERADO]]*tb_investimentos[[#This Row],[QUANTIDADE]]</f>
        <v>110</v>
      </c>
      <c r="Q334" s="58" t="str">
        <f ca="1">IFERROR(_xlfn.XLOOKUP(tb_investimentos[[#This Row],[DESCRIÇÃO]],tb_acoes[Símbolo do ticker],tb_acoes[Preço]),"")</f>
        <v/>
      </c>
      <c r="R334" s="58" t="str">
        <f ca="1">IFERROR(tb_investimentos[[#This Row],[QUANTIDADE]]*tb_investimentos[[#This Row],[PREÇO MERCADO]],"")</f>
        <v/>
      </c>
      <c r="S334" s="58" t="str">
        <f ca="1">IFERROR(tb_investimentos[[#This Row],[VALOR TOTAL MERCADO]]-tb_investimentos[[#This Row],[VALOR TOTAL PONDERADO]],"")</f>
        <v/>
      </c>
      <c r="T334" s="58" t="str">
        <f ca="1">IFERROR(_xlfn.XLOOKUP(tb_investimentos[[#This Row],[DESCRIÇÃO]],'INFO AÇÕES'!E:E,'INFO AÇÕES'!H:H),"")</f>
        <v/>
      </c>
      <c r="U334" s="59" t="str">
        <f ca="1">IFERROR((tb_investimentos[[#This Row],[VALOR TOTAL MERCADO]]-tb_investimentos[[#This Row],[VALOR TOTAL PONDERADO]])/tb_investimentos[[#This Row],[VALOR TOTAL PONDERADO]],"")</f>
        <v/>
      </c>
    </row>
    <row r="335" spans="2:21" hidden="1" x14ac:dyDescent="0.2">
      <c r="B335" s="13" t="s">
        <v>77</v>
      </c>
      <c r="C335" s="72">
        <v>47133</v>
      </c>
      <c r="D335" s="9" t="s">
        <v>80</v>
      </c>
      <c r="E335" s="11" t="str">
        <f>IF(tb_investimentos[[#This Row],[TIPO MOVIMENTAÇÃO]]="Aporte",_xlfn.XLOOKUP(tb_investimentos[[#This Row],[DESCRIÇÃO]],'INFO AÇÕES'!E:E,'INFO AÇÕES'!I:I),"BRL")</f>
        <v>BRL</v>
      </c>
      <c r="F335" s="75" t="s">
        <v>99</v>
      </c>
      <c r="G335" s="11">
        <v>1</v>
      </c>
      <c r="H335" s="12">
        <v>25</v>
      </c>
      <c r="I335" s="13" t="s">
        <v>107</v>
      </c>
      <c r="J335" s="51">
        <f t="shared" si="10"/>
        <v>25</v>
      </c>
      <c r="K335" s="13" t="s">
        <v>105</v>
      </c>
      <c r="L335">
        <f>MONTH(tb_investimentos[[#This Row],[DATA]])</f>
        <v>1</v>
      </c>
      <c r="M335">
        <f>YEAR(tb_investimentos[[#This Row],[DATA]])</f>
        <v>2029</v>
      </c>
      <c r="N335">
        <f>DAY(tb_investimentos[[#This Row],[DATA]])</f>
        <v>15</v>
      </c>
      <c r="O335">
        <f t="shared" si="11"/>
        <v>25</v>
      </c>
      <c r="P335">
        <f>tb_investimentos[[#This Row],[PREÇO MÉDIO PONDERADO]]*tb_investimentos[[#This Row],[QUANTIDADE]]</f>
        <v>25</v>
      </c>
      <c r="Q335" s="58" t="str">
        <f ca="1">IFERROR(_xlfn.XLOOKUP(tb_investimentos[[#This Row],[DESCRIÇÃO]],tb_acoes[Símbolo do ticker],tb_acoes[Preço]),"")</f>
        <v/>
      </c>
      <c r="R335" s="58" t="str">
        <f ca="1">IFERROR(tb_investimentos[[#This Row],[QUANTIDADE]]*tb_investimentos[[#This Row],[PREÇO MERCADO]],"")</f>
        <v/>
      </c>
      <c r="S335" s="58" t="str">
        <f ca="1">IFERROR(tb_investimentos[[#This Row],[VALOR TOTAL MERCADO]]-tb_investimentos[[#This Row],[VALOR TOTAL PONDERADO]],"")</f>
        <v/>
      </c>
      <c r="T335" s="58" t="str">
        <f ca="1">IFERROR(_xlfn.XLOOKUP(tb_investimentos[[#This Row],[DESCRIÇÃO]],'INFO AÇÕES'!E:E,'INFO AÇÕES'!H:H),"")</f>
        <v/>
      </c>
      <c r="U335" s="59" t="str">
        <f ca="1">IFERROR((tb_investimentos[[#This Row],[VALOR TOTAL MERCADO]]-tb_investimentos[[#This Row],[VALOR TOTAL PONDERADO]])/tb_investimentos[[#This Row],[VALOR TOTAL PONDERADO]],"")</f>
        <v/>
      </c>
    </row>
    <row r="336" spans="2:21" hidden="1" x14ac:dyDescent="0.2">
      <c r="B336" s="13" t="s">
        <v>72</v>
      </c>
      <c r="C336" s="72">
        <v>47154</v>
      </c>
      <c r="D336" s="9" t="s">
        <v>76</v>
      </c>
      <c r="E336" s="11" t="str">
        <f>IF(tb_investimentos[[#This Row],[TIPO MOVIMENTAÇÃO]]="Aporte",_xlfn.XLOOKUP(tb_investimentos[[#This Row],[DESCRIÇÃO]],'INFO AÇÕES'!E:E,'INFO AÇÕES'!I:I),"BRL")</f>
        <v>BRL</v>
      </c>
      <c r="F336" s="75" t="s">
        <v>73</v>
      </c>
      <c r="G336" s="11">
        <v>1</v>
      </c>
      <c r="H336" s="12">
        <v>8000</v>
      </c>
      <c r="I336" s="13" t="s">
        <v>107</v>
      </c>
      <c r="J336" s="51">
        <f t="shared" si="10"/>
        <v>8000</v>
      </c>
      <c r="K336" s="13" t="s">
        <v>105</v>
      </c>
      <c r="L336">
        <f>MONTH(tb_investimentos[[#This Row],[DATA]])</f>
        <v>2</v>
      </c>
      <c r="M336">
        <f>YEAR(tb_investimentos[[#This Row],[DATA]])</f>
        <v>2029</v>
      </c>
      <c r="N336">
        <f>DAY(tb_investimentos[[#This Row],[DATA]])</f>
        <v>5</v>
      </c>
      <c r="O336">
        <f t="shared" si="11"/>
        <v>7801.7948717948721</v>
      </c>
      <c r="P336">
        <f>tb_investimentos[[#This Row],[PREÇO MÉDIO PONDERADO]]*tb_investimentos[[#This Row],[QUANTIDADE]]</f>
        <v>7801.7948717948721</v>
      </c>
      <c r="Q336" s="58" t="str">
        <f ca="1">IFERROR(_xlfn.XLOOKUP(tb_investimentos[[#This Row],[DESCRIÇÃO]],tb_acoes[Símbolo do ticker],tb_acoes[Preço]),"")</f>
        <v/>
      </c>
      <c r="R336" s="58" t="str">
        <f ca="1">IFERROR(tb_investimentos[[#This Row],[QUANTIDADE]]*tb_investimentos[[#This Row],[PREÇO MERCADO]],"")</f>
        <v/>
      </c>
      <c r="S336" s="58" t="str">
        <f ca="1">IFERROR(tb_investimentos[[#This Row],[VALOR TOTAL MERCADO]]-tb_investimentos[[#This Row],[VALOR TOTAL PONDERADO]],"")</f>
        <v/>
      </c>
      <c r="T336" s="58" t="str">
        <f ca="1">IFERROR(_xlfn.XLOOKUP(tb_investimentos[[#This Row],[DESCRIÇÃO]],'INFO AÇÕES'!E:E,'INFO AÇÕES'!H:H),"")</f>
        <v/>
      </c>
      <c r="U336" s="59" t="str">
        <f ca="1">IFERROR((tb_investimentos[[#This Row],[VALOR TOTAL MERCADO]]-tb_investimentos[[#This Row],[VALOR TOTAL PONDERADO]])/tb_investimentos[[#This Row],[VALOR TOTAL PONDERADO]],"")</f>
        <v/>
      </c>
    </row>
    <row r="337" spans="2:21" hidden="1" x14ac:dyDescent="0.2">
      <c r="B337" s="13" t="s">
        <v>39</v>
      </c>
      <c r="C337" s="10">
        <v>47154</v>
      </c>
      <c r="D337" s="9"/>
      <c r="E337" s="11">
        <f ca="1">IF(tb_investimentos[[#This Row],[TIPO MOVIMENTAÇÃO]]="Aporte",_xlfn.XLOOKUP(tb_investimentos[[#This Row],[DESCRIÇÃO]],'INFO AÇÕES'!E:E,'INFO AÇÕES'!I:I),"BRL")</f>
        <v>0</v>
      </c>
      <c r="F337" s="73" t="s">
        <v>10</v>
      </c>
      <c r="G337" s="11">
        <v>1</v>
      </c>
      <c r="H337" s="12">
        <v>3000</v>
      </c>
      <c r="I337" s="13" t="s">
        <v>58</v>
      </c>
      <c r="J337" s="51">
        <f t="shared" si="10"/>
        <v>3000</v>
      </c>
      <c r="K337" s="11" t="s">
        <v>105</v>
      </c>
      <c r="L337">
        <f>MONTH(tb_investimentos[[#This Row],[DATA]])</f>
        <v>2</v>
      </c>
      <c r="M337">
        <f>YEAR(tb_investimentos[[#This Row],[DATA]])</f>
        <v>2029</v>
      </c>
      <c r="N337">
        <f>DAY(tb_investimentos[[#This Row],[DATA]])</f>
        <v>5</v>
      </c>
      <c r="O337" t="e">
        <f t="shared" si="11"/>
        <v>#DIV/0!</v>
      </c>
      <c r="P337" t="e">
        <f>tb_investimentos[[#This Row],[PREÇO MÉDIO PONDERADO]]*tb_investimentos[[#This Row],[QUANTIDADE]]</f>
        <v>#DIV/0!</v>
      </c>
      <c r="Q337" s="58" t="str">
        <f ca="1">IFERROR(_xlfn.XLOOKUP(tb_investimentos[[#This Row],[DESCRIÇÃO]],tb_acoes[Símbolo do ticker],tb_acoes[Preço]),"")</f>
        <v/>
      </c>
      <c r="R337" s="58" t="str">
        <f ca="1">IFERROR(tb_investimentos[[#This Row],[QUANTIDADE]]*tb_investimentos[[#This Row],[PREÇO MERCADO]],"")</f>
        <v/>
      </c>
      <c r="S337" s="58" t="str">
        <f ca="1">IFERROR(tb_investimentos[[#This Row],[VALOR TOTAL MERCADO]]-tb_investimentos[[#This Row],[VALOR TOTAL PONDERADO]],"")</f>
        <v/>
      </c>
      <c r="T337" s="58" t="str">
        <f ca="1">IFERROR(_xlfn.XLOOKUP(tb_investimentos[[#This Row],[DESCRIÇÃO]],'INFO AÇÕES'!E:E,'INFO AÇÕES'!H:H),"")</f>
        <v/>
      </c>
      <c r="U337" s="59" t="str">
        <f ca="1">IFERROR((tb_investimentos[[#This Row],[VALOR TOTAL MERCADO]]-tb_investimentos[[#This Row],[VALOR TOTAL PONDERADO]])/tb_investimentos[[#This Row],[VALOR TOTAL PONDERADO]],"")</f>
        <v/>
      </c>
    </row>
    <row r="338" spans="2:21" hidden="1" x14ac:dyDescent="0.2">
      <c r="B338" s="13" t="s">
        <v>77</v>
      </c>
      <c r="C338" s="10">
        <v>47164</v>
      </c>
      <c r="D338" s="9" t="s">
        <v>88</v>
      </c>
      <c r="E338" s="11" t="str">
        <f>IF(tb_investimentos[[#This Row],[TIPO MOVIMENTAÇÃO]]="Aporte",_xlfn.XLOOKUP(tb_investimentos[[#This Row],[DESCRIÇÃO]],'INFO AÇÕES'!E:E,'INFO AÇÕES'!I:I),"BRL")</f>
        <v>BRL</v>
      </c>
      <c r="F338" s="75" t="s">
        <v>91</v>
      </c>
      <c r="G338" s="11">
        <v>1</v>
      </c>
      <c r="H338" s="12">
        <v>1945.2889600000001</v>
      </c>
      <c r="I338" s="13" t="s">
        <v>107</v>
      </c>
      <c r="J338" s="51">
        <f t="shared" si="10"/>
        <v>1945.2889600000001</v>
      </c>
      <c r="K338" s="13" t="s">
        <v>105</v>
      </c>
      <c r="L338">
        <f>MONTH(tb_investimentos[[#This Row],[DATA]])</f>
        <v>2</v>
      </c>
      <c r="M338">
        <f>YEAR(tb_investimentos[[#This Row],[DATA]])</f>
        <v>2029</v>
      </c>
      <c r="N338">
        <f>DAY(tb_investimentos[[#This Row],[DATA]])</f>
        <v>15</v>
      </c>
      <c r="O338">
        <f t="shared" si="11"/>
        <v>1629.9930261538464</v>
      </c>
      <c r="P338">
        <f>tb_investimentos[[#This Row],[PREÇO MÉDIO PONDERADO]]*tb_investimentos[[#This Row],[QUANTIDADE]]</f>
        <v>1629.9930261538464</v>
      </c>
      <c r="Q338" s="58" t="str">
        <f ca="1">IFERROR(_xlfn.XLOOKUP(tb_investimentos[[#This Row],[DESCRIÇÃO]],tb_acoes[Símbolo do ticker],tb_acoes[Preço]),"")</f>
        <v/>
      </c>
      <c r="R338" s="58" t="str">
        <f ca="1">IFERROR(tb_investimentos[[#This Row],[QUANTIDADE]]*tb_investimentos[[#This Row],[PREÇO MERCADO]],"")</f>
        <v/>
      </c>
      <c r="S338" s="58" t="str">
        <f ca="1">IFERROR(tb_investimentos[[#This Row],[VALOR TOTAL MERCADO]]-tb_investimentos[[#This Row],[VALOR TOTAL PONDERADO]],"")</f>
        <v/>
      </c>
      <c r="T338" s="58" t="str">
        <f ca="1">IFERROR(_xlfn.XLOOKUP(tb_investimentos[[#This Row],[DESCRIÇÃO]],'INFO AÇÕES'!E:E,'INFO AÇÕES'!H:H),"")</f>
        <v/>
      </c>
      <c r="U338" s="59" t="str">
        <f ca="1">IFERROR((tb_investimentos[[#This Row],[VALOR TOTAL MERCADO]]-tb_investimentos[[#This Row],[VALOR TOTAL PONDERADO]])/tb_investimentos[[#This Row],[VALOR TOTAL PONDERADO]],"")</f>
        <v/>
      </c>
    </row>
    <row r="339" spans="2:21" hidden="1" x14ac:dyDescent="0.2">
      <c r="B339" s="13" t="s">
        <v>77</v>
      </c>
      <c r="C339" s="10">
        <v>47164</v>
      </c>
      <c r="D339" s="9" t="s">
        <v>130</v>
      </c>
      <c r="E339" s="11" t="str">
        <f>IF(tb_investimentos[[#This Row],[TIPO MOVIMENTAÇÃO]]="Aporte",_xlfn.XLOOKUP(tb_investimentos[[#This Row],[DESCRIÇÃO]],'INFO AÇÕES'!E:E,'INFO AÇÕES'!I:I),"BRL")</f>
        <v>BRL</v>
      </c>
      <c r="F339" s="75" t="s">
        <v>83</v>
      </c>
      <c r="G339" s="11">
        <v>1</v>
      </c>
      <c r="H339" s="12">
        <v>400</v>
      </c>
      <c r="I339" s="13" t="s">
        <v>107</v>
      </c>
      <c r="J339" s="51">
        <f t="shared" si="10"/>
        <v>400</v>
      </c>
      <c r="K339" s="13" t="s">
        <v>105</v>
      </c>
      <c r="L339">
        <f>MONTH(tb_investimentos[[#This Row],[DATA]])</f>
        <v>2</v>
      </c>
      <c r="M339">
        <f>YEAR(tb_investimentos[[#This Row],[DATA]])</f>
        <v>2029</v>
      </c>
      <c r="N339">
        <f>DAY(tb_investimentos[[#This Row],[DATA]])</f>
        <v>15</v>
      </c>
      <c r="O339">
        <f t="shared" si="11"/>
        <v>400</v>
      </c>
      <c r="P339">
        <f>tb_investimentos[[#This Row],[PREÇO MÉDIO PONDERADO]]*tb_investimentos[[#This Row],[QUANTIDADE]]</f>
        <v>400</v>
      </c>
      <c r="Q339" s="58" t="str">
        <f ca="1">IFERROR(_xlfn.XLOOKUP(tb_investimentos[[#This Row],[DESCRIÇÃO]],tb_acoes[Símbolo do ticker],tb_acoes[Preço]),"")</f>
        <v/>
      </c>
      <c r="R339" s="58" t="str">
        <f ca="1">IFERROR(tb_investimentos[[#This Row],[QUANTIDADE]]*tb_investimentos[[#This Row],[PREÇO MERCADO]],"")</f>
        <v/>
      </c>
      <c r="S339" s="58" t="str">
        <f ca="1">IFERROR(tb_investimentos[[#This Row],[VALOR TOTAL MERCADO]]-tb_investimentos[[#This Row],[VALOR TOTAL PONDERADO]],"")</f>
        <v/>
      </c>
      <c r="T339" s="58" t="str">
        <f ca="1">IFERROR(_xlfn.XLOOKUP(tb_investimentos[[#This Row],[DESCRIÇÃO]],'INFO AÇÕES'!E:E,'INFO AÇÕES'!H:H),"")</f>
        <v/>
      </c>
      <c r="U339" s="59" t="str">
        <f ca="1">IFERROR((tb_investimentos[[#This Row],[VALOR TOTAL MERCADO]]-tb_investimentos[[#This Row],[VALOR TOTAL PONDERADO]])/tb_investimentos[[#This Row],[VALOR TOTAL PONDERADO]],"")</f>
        <v/>
      </c>
    </row>
    <row r="340" spans="2:21" hidden="1" x14ac:dyDescent="0.2">
      <c r="B340" s="13" t="s">
        <v>77</v>
      </c>
      <c r="C340" s="72">
        <v>47164</v>
      </c>
      <c r="D340" s="9" t="s">
        <v>78</v>
      </c>
      <c r="E340" s="11" t="str">
        <f>IF(tb_investimentos[[#This Row],[TIPO MOVIMENTAÇÃO]]="Aporte",_xlfn.XLOOKUP(tb_investimentos[[#This Row],[DESCRIÇÃO]],'INFO AÇÕES'!E:E,'INFO AÇÕES'!I:I),"BRL")</f>
        <v>BRL</v>
      </c>
      <c r="F340" s="75" t="s">
        <v>102</v>
      </c>
      <c r="G340" s="11">
        <v>1</v>
      </c>
      <c r="H340" s="12">
        <v>39.9</v>
      </c>
      <c r="I340" s="13" t="s">
        <v>107</v>
      </c>
      <c r="J340" s="51">
        <f t="shared" si="10"/>
        <v>39.9</v>
      </c>
      <c r="K340" s="13" t="s">
        <v>105</v>
      </c>
      <c r="L340">
        <f>MONTH(tb_investimentos[[#This Row],[DATA]])</f>
        <v>2</v>
      </c>
      <c r="M340">
        <f>YEAR(tb_investimentos[[#This Row],[DATA]])</f>
        <v>2029</v>
      </c>
      <c r="N340">
        <f>DAY(tb_investimentos[[#This Row],[DATA]])</f>
        <v>15</v>
      </c>
      <c r="O340">
        <f t="shared" si="11"/>
        <v>59.90000000000002</v>
      </c>
      <c r="P340">
        <f>tb_investimentos[[#This Row],[PREÇO MÉDIO PONDERADO]]*tb_investimentos[[#This Row],[QUANTIDADE]]</f>
        <v>59.90000000000002</v>
      </c>
      <c r="Q340" s="58" t="str">
        <f ca="1">IFERROR(_xlfn.XLOOKUP(tb_investimentos[[#This Row],[DESCRIÇÃO]],tb_acoes[Símbolo do ticker],tb_acoes[Preço]),"")</f>
        <v/>
      </c>
      <c r="R340" s="58" t="str">
        <f ca="1">IFERROR(tb_investimentos[[#This Row],[QUANTIDADE]]*tb_investimentos[[#This Row],[PREÇO MERCADO]],"")</f>
        <v/>
      </c>
      <c r="S340" s="58" t="str">
        <f ca="1">IFERROR(tb_investimentos[[#This Row],[VALOR TOTAL MERCADO]]-tb_investimentos[[#This Row],[VALOR TOTAL PONDERADO]],"")</f>
        <v/>
      </c>
      <c r="T340" s="58" t="str">
        <f ca="1">IFERROR(_xlfn.XLOOKUP(tb_investimentos[[#This Row],[DESCRIÇÃO]],'INFO AÇÕES'!E:E,'INFO AÇÕES'!H:H),"")</f>
        <v/>
      </c>
      <c r="U340" s="59" t="str">
        <f ca="1">IFERROR((tb_investimentos[[#This Row],[VALOR TOTAL MERCADO]]-tb_investimentos[[#This Row],[VALOR TOTAL PONDERADO]])/tb_investimentos[[#This Row],[VALOR TOTAL PONDERADO]],"")</f>
        <v/>
      </c>
    </row>
    <row r="341" spans="2:21" hidden="1" x14ac:dyDescent="0.2">
      <c r="B341" s="13" t="s">
        <v>77</v>
      </c>
      <c r="C341" s="72">
        <v>47164</v>
      </c>
      <c r="D341" s="9" t="s">
        <v>78</v>
      </c>
      <c r="E341" s="11" t="str">
        <f>IF(tb_investimentos[[#This Row],[TIPO MOVIMENTAÇÃO]]="Aporte",_xlfn.XLOOKUP(tb_investimentos[[#This Row],[DESCRIÇÃO]],'INFO AÇÕES'!E:E,'INFO AÇÕES'!I:I),"BRL")</f>
        <v>BRL</v>
      </c>
      <c r="F341" s="75" t="s">
        <v>101</v>
      </c>
      <c r="G341" s="11">
        <v>1</v>
      </c>
      <c r="H341" s="12">
        <v>79.900000000000006</v>
      </c>
      <c r="I341" s="13" t="s">
        <v>107</v>
      </c>
      <c r="J341" s="51">
        <f t="shared" si="10"/>
        <v>79.900000000000006</v>
      </c>
      <c r="K341" s="13" t="s">
        <v>105</v>
      </c>
      <c r="L341">
        <f>MONTH(tb_investimentos[[#This Row],[DATA]])</f>
        <v>2</v>
      </c>
      <c r="M341">
        <f>YEAR(tb_investimentos[[#This Row],[DATA]])</f>
        <v>2029</v>
      </c>
      <c r="N341">
        <f>DAY(tb_investimentos[[#This Row],[DATA]])</f>
        <v>15</v>
      </c>
      <c r="O341">
        <f t="shared" si="11"/>
        <v>59.90000000000002</v>
      </c>
      <c r="P341">
        <f>tb_investimentos[[#This Row],[PREÇO MÉDIO PONDERADO]]*tb_investimentos[[#This Row],[QUANTIDADE]]</f>
        <v>59.90000000000002</v>
      </c>
      <c r="Q341" s="58" t="str">
        <f ca="1">IFERROR(_xlfn.XLOOKUP(tb_investimentos[[#This Row],[DESCRIÇÃO]],tb_acoes[Símbolo do ticker],tb_acoes[Preço]),"")</f>
        <v/>
      </c>
      <c r="R341" s="58" t="str">
        <f ca="1">IFERROR(tb_investimentos[[#This Row],[QUANTIDADE]]*tb_investimentos[[#This Row],[PREÇO MERCADO]],"")</f>
        <v/>
      </c>
      <c r="S341" s="58" t="str">
        <f ca="1">IFERROR(tb_investimentos[[#This Row],[VALOR TOTAL MERCADO]]-tb_investimentos[[#This Row],[VALOR TOTAL PONDERADO]],"")</f>
        <v/>
      </c>
      <c r="T341" s="58" t="str">
        <f ca="1">IFERROR(_xlfn.XLOOKUP(tb_investimentos[[#This Row],[DESCRIÇÃO]],'INFO AÇÕES'!E:E,'INFO AÇÕES'!H:H),"")</f>
        <v/>
      </c>
      <c r="U341" s="59" t="str">
        <f ca="1">IFERROR((tb_investimentos[[#This Row],[VALOR TOTAL MERCADO]]-tb_investimentos[[#This Row],[VALOR TOTAL PONDERADO]])/tb_investimentos[[#This Row],[VALOR TOTAL PONDERADO]],"")</f>
        <v/>
      </c>
    </row>
    <row r="342" spans="2:21" hidden="1" x14ac:dyDescent="0.2">
      <c r="B342" s="13" t="s">
        <v>77</v>
      </c>
      <c r="C342" s="72">
        <v>47164</v>
      </c>
      <c r="D342" s="9" t="s">
        <v>79</v>
      </c>
      <c r="E342" s="11" t="str">
        <f>IF(tb_investimentos[[#This Row],[TIPO MOVIMENTAÇÃO]]="Aporte",_xlfn.XLOOKUP(tb_investimentos[[#This Row],[DESCRIÇÃO]],'INFO AÇÕES'!E:E,'INFO AÇÕES'!I:I),"BRL")</f>
        <v>BRL</v>
      </c>
      <c r="F342" s="75" t="s">
        <v>100</v>
      </c>
      <c r="G342" s="11">
        <v>1</v>
      </c>
      <c r="H342" s="12">
        <v>110</v>
      </c>
      <c r="I342" s="13" t="s">
        <v>107</v>
      </c>
      <c r="J342" s="51">
        <f t="shared" si="10"/>
        <v>110</v>
      </c>
      <c r="K342" s="13" t="s">
        <v>105</v>
      </c>
      <c r="L342">
        <f>MONTH(tb_investimentos[[#This Row],[DATA]])</f>
        <v>2</v>
      </c>
      <c r="M342">
        <f>YEAR(tb_investimentos[[#This Row],[DATA]])</f>
        <v>2029</v>
      </c>
      <c r="N342">
        <f>DAY(tb_investimentos[[#This Row],[DATA]])</f>
        <v>15</v>
      </c>
      <c r="O342">
        <f t="shared" si="11"/>
        <v>110</v>
      </c>
      <c r="P342">
        <f>tb_investimentos[[#This Row],[PREÇO MÉDIO PONDERADO]]*tb_investimentos[[#This Row],[QUANTIDADE]]</f>
        <v>110</v>
      </c>
      <c r="Q342" s="58" t="str">
        <f ca="1">IFERROR(_xlfn.XLOOKUP(tb_investimentos[[#This Row],[DESCRIÇÃO]],tb_acoes[Símbolo do ticker],tb_acoes[Preço]),"")</f>
        <v/>
      </c>
      <c r="R342" s="58" t="str">
        <f ca="1">IFERROR(tb_investimentos[[#This Row],[QUANTIDADE]]*tb_investimentos[[#This Row],[PREÇO MERCADO]],"")</f>
        <v/>
      </c>
      <c r="S342" s="58" t="str">
        <f ca="1">IFERROR(tb_investimentos[[#This Row],[VALOR TOTAL MERCADO]]-tb_investimentos[[#This Row],[VALOR TOTAL PONDERADO]],"")</f>
        <v/>
      </c>
      <c r="T342" s="58" t="str">
        <f ca="1">IFERROR(_xlfn.XLOOKUP(tb_investimentos[[#This Row],[DESCRIÇÃO]],'INFO AÇÕES'!E:E,'INFO AÇÕES'!H:H),"")</f>
        <v/>
      </c>
      <c r="U342" s="59" t="str">
        <f ca="1">IFERROR((tb_investimentos[[#This Row],[VALOR TOTAL MERCADO]]-tb_investimentos[[#This Row],[VALOR TOTAL PONDERADO]])/tb_investimentos[[#This Row],[VALOR TOTAL PONDERADO]],"")</f>
        <v/>
      </c>
    </row>
    <row r="343" spans="2:21" hidden="1" x14ac:dyDescent="0.2">
      <c r="B343" s="13" t="s">
        <v>77</v>
      </c>
      <c r="C343" s="72">
        <v>47164</v>
      </c>
      <c r="D343" s="9" t="s">
        <v>80</v>
      </c>
      <c r="E343" s="11" t="str">
        <f>IF(tb_investimentos[[#This Row],[TIPO MOVIMENTAÇÃO]]="Aporte",_xlfn.XLOOKUP(tb_investimentos[[#This Row],[DESCRIÇÃO]],'INFO AÇÕES'!E:E,'INFO AÇÕES'!I:I),"BRL")</f>
        <v>BRL</v>
      </c>
      <c r="F343" s="75" t="s">
        <v>99</v>
      </c>
      <c r="G343" s="11">
        <v>1</v>
      </c>
      <c r="H343" s="12">
        <v>25</v>
      </c>
      <c r="I343" s="13" t="s">
        <v>107</v>
      </c>
      <c r="J343" s="51">
        <f t="shared" si="10"/>
        <v>25</v>
      </c>
      <c r="K343" s="13" t="s">
        <v>105</v>
      </c>
      <c r="L343">
        <f>MONTH(tb_investimentos[[#This Row],[DATA]])</f>
        <v>2</v>
      </c>
      <c r="M343">
        <f>YEAR(tb_investimentos[[#This Row],[DATA]])</f>
        <v>2029</v>
      </c>
      <c r="N343">
        <f>DAY(tb_investimentos[[#This Row],[DATA]])</f>
        <v>15</v>
      </c>
      <c r="O343">
        <f t="shared" si="11"/>
        <v>25</v>
      </c>
      <c r="P343">
        <f>tb_investimentos[[#This Row],[PREÇO MÉDIO PONDERADO]]*tb_investimentos[[#This Row],[QUANTIDADE]]</f>
        <v>25</v>
      </c>
      <c r="Q343" s="58" t="str">
        <f ca="1">IFERROR(_xlfn.XLOOKUP(tb_investimentos[[#This Row],[DESCRIÇÃO]],tb_acoes[Símbolo do ticker],tb_acoes[Preço]),"")</f>
        <v/>
      </c>
      <c r="R343" s="58" t="str">
        <f ca="1">IFERROR(tb_investimentos[[#This Row],[QUANTIDADE]]*tb_investimentos[[#This Row],[PREÇO MERCADO]],"")</f>
        <v/>
      </c>
      <c r="S343" s="58" t="str">
        <f ca="1">IFERROR(tb_investimentos[[#This Row],[VALOR TOTAL MERCADO]]-tb_investimentos[[#This Row],[VALOR TOTAL PONDERADO]],"")</f>
        <v/>
      </c>
      <c r="T343" s="58" t="str">
        <f ca="1">IFERROR(_xlfn.XLOOKUP(tb_investimentos[[#This Row],[DESCRIÇÃO]],'INFO AÇÕES'!E:E,'INFO AÇÕES'!H:H),"")</f>
        <v/>
      </c>
      <c r="U343" s="59" t="str">
        <f ca="1">IFERROR((tb_investimentos[[#This Row],[VALOR TOTAL MERCADO]]-tb_investimentos[[#This Row],[VALOR TOTAL PONDERADO]])/tb_investimentos[[#This Row],[VALOR TOTAL PONDERADO]],"")</f>
        <v/>
      </c>
    </row>
    <row r="344" spans="2:21" hidden="1" x14ac:dyDescent="0.2">
      <c r="B344" s="13" t="s">
        <v>72</v>
      </c>
      <c r="C344" s="72">
        <v>47182</v>
      </c>
      <c r="D344" s="9" t="s">
        <v>76</v>
      </c>
      <c r="E344" s="11" t="str">
        <f>IF(tb_investimentos[[#This Row],[TIPO MOVIMENTAÇÃO]]="Aporte",_xlfn.XLOOKUP(tb_investimentos[[#This Row],[DESCRIÇÃO]],'INFO AÇÕES'!E:E,'INFO AÇÕES'!I:I),"BRL")</f>
        <v>BRL</v>
      </c>
      <c r="F344" s="75" t="s">
        <v>73</v>
      </c>
      <c r="G344" s="11">
        <v>1</v>
      </c>
      <c r="H344" s="12">
        <v>8000</v>
      </c>
      <c r="I344" s="13" t="s">
        <v>107</v>
      </c>
      <c r="J344" s="51">
        <f t="shared" si="10"/>
        <v>8000</v>
      </c>
      <c r="K344" s="13" t="s">
        <v>105</v>
      </c>
      <c r="L344">
        <f>MONTH(tb_investimentos[[#This Row],[DATA]])</f>
        <v>3</v>
      </c>
      <c r="M344">
        <f>YEAR(tb_investimentos[[#This Row],[DATA]])</f>
        <v>2029</v>
      </c>
      <c r="N344">
        <f>DAY(tb_investimentos[[#This Row],[DATA]])</f>
        <v>5</v>
      </c>
      <c r="O344">
        <f t="shared" si="11"/>
        <v>7801.7948717948721</v>
      </c>
      <c r="P344">
        <f>tb_investimentos[[#This Row],[PREÇO MÉDIO PONDERADO]]*tb_investimentos[[#This Row],[QUANTIDADE]]</f>
        <v>7801.7948717948721</v>
      </c>
      <c r="Q344" s="58" t="str">
        <f ca="1">IFERROR(_xlfn.XLOOKUP(tb_investimentos[[#This Row],[DESCRIÇÃO]],tb_acoes[Símbolo do ticker],tb_acoes[Preço]),"")</f>
        <v/>
      </c>
      <c r="R344" s="58" t="str">
        <f ca="1">IFERROR(tb_investimentos[[#This Row],[QUANTIDADE]]*tb_investimentos[[#This Row],[PREÇO MERCADO]],"")</f>
        <v/>
      </c>
      <c r="S344" s="58" t="str">
        <f ca="1">IFERROR(tb_investimentos[[#This Row],[VALOR TOTAL MERCADO]]-tb_investimentos[[#This Row],[VALOR TOTAL PONDERADO]],"")</f>
        <v/>
      </c>
      <c r="T344" s="58" t="str">
        <f ca="1">IFERROR(_xlfn.XLOOKUP(tb_investimentos[[#This Row],[DESCRIÇÃO]],'INFO AÇÕES'!E:E,'INFO AÇÕES'!H:H),"")</f>
        <v/>
      </c>
      <c r="U344" s="59" t="str">
        <f ca="1">IFERROR((tb_investimentos[[#This Row],[VALOR TOTAL MERCADO]]-tb_investimentos[[#This Row],[VALOR TOTAL PONDERADO]])/tb_investimentos[[#This Row],[VALOR TOTAL PONDERADO]],"")</f>
        <v/>
      </c>
    </row>
    <row r="345" spans="2:21" hidden="1" x14ac:dyDescent="0.2">
      <c r="B345" s="13" t="s">
        <v>39</v>
      </c>
      <c r="C345" s="10">
        <v>47182</v>
      </c>
      <c r="D345" s="9"/>
      <c r="E345" s="11">
        <f ca="1">IF(tb_investimentos[[#This Row],[TIPO MOVIMENTAÇÃO]]="Aporte",_xlfn.XLOOKUP(tb_investimentos[[#This Row],[DESCRIÇÃO]],'INFO AÇÕES'!E:E,'INFO AÇÕES'!I:I),"BRL")</f>
        <v>0</v>
      </c>
      <c r="F345" s="73" t="s">
        <v>10</v>
      </c>
      <c r="G345" s="11">
        <v>1</v>
      </c>
      <c r="H345" s="12">
        <v>3000</v>
      </c>
      <c r="I345" s="13" t="s">
        <v>58</v>
      </c>
      <c r="J345" s="51">
        <f t="shared" si="10"/>
        <v>3000</v>
      </c>
      <c r="K345" s="11" t="s">
        <v>105</v>
      </c>
      <c r="L345">
        <f>MONTH(tb_investimentos[[#This Row],[DATA]])</f>
        <v>3</v>
      </c>
      <c r="M345">
        <f>YEAR(tb_investimentos[[#This Row],[DATA]])</f>
        <v>2029</v>
      </c>
      <c r="N345">
        <f>DAY(tb_investimentos[[#This Row],[DATA]])</f>
        <v>5</v>
      </c>
      <c r="O345" t="e">
        <f t="shared" si="11"/>
        <v>#DIV/0!</v>
      </c>
      <c r="P345" t="e">
        <f>tb_investimentos[[#This Row],[PREÇO MÉDIO PONDERADO]]*tb_investimentos[[#This Row],[QUANTIDADE]]</f>
        <v>#DIV/0!</v>
      </c>
      <c r="Q345" s="58" t="str">
        <f ca="1">IFERROR(_xlfn.XLOOKUP(tb_investimentos[[#This Row],[DESCRIÇÃO]],tb_acoes[Símbolo do ticker],tb_acoes[Preço]),"")</f>
        <v/>
      </c>
      <c r="R345" s="58" t="str">
        <f ca="1">IFERROR(tb_investimentos[[#This Row],[QUANTIDADE]]*tb_investimentos[[#This Row],[PREÇO MERCADO]],"")</f>
        <v/>
      </c>
      <c r="S345" s="58" t="str">
        <f ca="1">IFERROR(tb_investimentos[[#This Row],[VALOR TOTAL MERCADO]]-tb_investimentos[[#This Row],[VALOR TOTAL PONDERADO]],"")</f>
        <v/>
      </c>
      <c r="T345" s="58" t="str">
        <f ca="1">IFERROR(_xlfn.XLOOKUP(tb_investimentos[[#This Row],[DESCRIÇÃO]],'INFO AÇÕES'!E:E,'INFO AÇÕES'!H:H),"")</f>
        <v/>
      </c>
      <c r="U345" s="59" t="str">
        <f ca="1">IFERROR((tb_investimentos[[#This Row],[VALOR TOTAL MERCADO]]-tb_investimentos[[#This Row],[VALOR TOTAL PONDERADO]])/tb_investimentos[[#This Row],[VALOR TOTAL PONDERADO]],"")</f>
        <v/>
      </c>
    </row>
    <row r="346" spans="2:21" hidden="1" x14ac:dyDescent="0.2">
      <c r="B346" s="13" t="s">
        <v>77</v>
      </c>
      <c r="C346" s="10">
        <v>47192</v>
      </c>
      <c r="D346" s="9" t="s">
        <v>88</v>
      </c>
      <c r="E346" s="11" t="str">
        <f>IF(tb_investimentos[[#This Row],[TIPO MOVIMENTAÇÃO]]="Aporte",_xlfn.XLOOKUP(tb_investimentos[[#This Row],[DESCRIÇÃO]],'INFO AÇÕES'!E:E,'INFO AÇÕES'!I:I),"BRL")</f>
        <v>BRL</v>
      </c>
      <c r="F346" s="75" t="s">
        <v>91</v>
      </c>
      <c r="G346" s="11">
        <v>1</v>
      </c>
      <c r="H346" s="12">
        <v>1962.0964200000001</v>
      </c>
      <c r="I346" s="13" t="s">
        <v>107</v>
      </c>
      <c r="J346" s="51">
        <f t="shared" si="10"/>
        <v>1962.0964200000001</v>
      </c>
      <c r="K346" s="13" t="s">
        <v>105</v>
      </c>
      <c r="L346">
        <f>MONTH(tb_investimentos[[#This Row],[DATA]])</f>
        <v>3</v>
      </c>
      <c r="M346">
        <f>YEAR(tb_investimentos[[#This Row],[DATA]])</f>
        <v>2029</v>
      </c>
      <c r="N346">
        <f>DAY(tb_investimentos[[#This Row],[DATA]])</f>
        <v>15</v>
      </c>
      <c r="O346">
        <f t="shared" si="11"/>
        <v>1629.9930261538464</v>
      </c>
      <c r="P346">
        <f>tb_investimentos[[#This Row],[PREÇO MÉDIO PONDERADO]]*tb_investimentos[[#This Row],[QUANTIDADE]]</f>
        <v>1629.9930261538464</v>
      </c>
      <c r="Q346" s="58" t="str">
        <f ca="1">IFERROR(_xlfn.XLOOKUP(tb_investimentos[[#This Row],[DESCRIÇÃO]],tb_acoes[Símbolo do ticker],tb_acoes[Preço]),"")</f>
        <v/>
      </c>
      <c r="R346" s="58" t="str">
        <f ca="1">IFERROR(tb_investimentos[[#This Row],[QUANTIDADE]]*tb_investimentos[[#This Row],[PREÇO MERCADO]],"")</f>
        <v/>
      </c>
      <c r="S346" s="58" t="str">
        <f ca="1">IFERROR(tb_investimentos[[#This Row],[VALOR TOTAL MERCADO]]-tb_investimentos[[#This Row],[VALOR TOTAL PONDERADO]],"")</f>
        <v/>
      </c>
      <c r="T346" s="58" t="str">
        <f ca="1">IFERROR(_xlfn.XLOOKUP(tb_investimentos[[#This Row],[DESCRIÇÃO]],'INFO AÇÕES'!E:E,'INFO AÇÕES'!H:H),"")</f>
        <v/>
      </c>
      <c r="U346" s="59" t="str">
        <f ca="1">IFERROR((tb_investimentos[[#This Row],[VALOR TOTAL MERCADO]]-tb_investimentos[[#This Row],[VALOR TOTAL PONDERADO]])/tb_investimentos[[#This Row],[VALOR TOTAL PONDERADO]],"")</f>
        <v/>
      </c>
    </row>
    <row r="347" spans="2:21" hidden="1" x14ac:dyDescent="0.2">
      <c r="B347" s="13" t="s">
        <v>77</v>
      </c>
      <c r="C347" s="10">
        <v>47192</v>
      </c>
      <c r="D347" s="9" t="s">
        <v>130</v>
      </c>
      <c r="E347" s="11" t="str">
        <f>IF(tb_investimentos[[#This Row],[TIPO MOVIMENTAÇÃO]]="Aporte",_xlfn.XLOOKUP(tb_investimentos[[#This Row],[DESCRIÇÃO]],'INFO AÇÕES'!E:E,'INFO AÇÕES'!I:I),"BRL")</f>
        <v>BRL</v>
      </c>
      <c r="F347" s="75" t="s">
        <v>83</v>
      </c>
      <c r="G347" s="11">
        <v>1</v>
      </c>
      <c r="H347" s="12">
        <v>400</v>
      </c>
      <c r="I347" s="13" t="s">
        <v>107</v>
      </c>
      <c r="J347" s="51">
        <f t="shared" si="10"/>
        <v>400</v>
      </c>
      <c r="K347" s="13" t="s">
        <v>105</v>
      </c>
      <c r="L347">
        <f>MONTH(tb_investimentos[[#This Row],[DATA]])</f>
        <v>3</v>
      </c>
      <c r="M347">
        <f>YEAR(tb_investimentos[[#This Row],[DATA]])</f>
        <v>2029</v>
      </c>
      <c r="N347">
        <f>DAY(tb_investimentos[[#This Row],[DATA]])</f>
        <v>15</v>
      </c>
      <c r="O347">
        <f t="shared" si="11"/>
        <v>400</v>
      </c>
      <c r="P347">
        <f>tb_investimentos[[#This Row],[PREÇO MÉDIO PONDERADO]]*tb_investimentos[[#This Row],[QUANTIDADE]]</f>
        <v>400</v>
      </c>
      <c r="Q347" s="58" t="str">
        <f ca="1">IFERROR(_xlfn.XLOOKUP(tb_investimentos[[#This Row],[DESCRIÇÃO]],tb_acoes[Símbolo do ticker],tb_acoes[Preço]),"")</f>
        <v/>
      </c>
      <c r="R347" s="58" t="str">
        <f ca="1">IFERROR(tb_investimentos[[#This Row],[QUANTIDADE]]*tb_investimentos[[#This Row],[PREÇO MERCADO]],"")</f>
        <v/>
      </c>
      <c r="S347" s="58" t="str">
        <f ca="1">IFERROR(tb_investimentos[[#This Row],[VALOR TOTAL MERCADO]]-tb_investimentos[[#This Row],[VALOR TOTAL PONDERADO]],"")</f>
        <v/>
      </c>
      <c r="T347" s="58" t="str">
        <f ca="1">IFERROR(_xlfn.XLOOKUP(tb_investimentos[[#This Row],[DESCRIÇÃO]],'INFO AÇÕES'!E:E,'INFO AÇÕES'!H:H),"")</f>
        <v/>
      </c>
      <c r="U347" s="59" t="str">
        <f ca="1">IFERROR((tb_investimentos[[#This Row],[VALOR TOTAL MERCADO]]-tb_investimentos[[#This Row],[VALOR TOTAL PONDERADO]])/tb_investimentos[[#This Row],[VALOR TOTAL PONDERADO]],"")</f>
        <v/>
      </c>
    </row>
    <row r="348" spans="2:21" hidden="1" x14ac:dyDescent="0.2">
      <c r="B348" s="13" t="s">
        <v>77</v>
      </c>
      <c r="C348" s="72">
        <v>47192</v>
      </c>
      <c r="D348" s="9" t="s">
        <v>78</v>
      </c>
      <c r="E348" s="11" t="str">
        <f>IF(tb_investimentos[[#This Row],[TIPO MOVIMENTAÇÃO]]="Aporte",_xlfn.XLOOKUP(tb_investimentos[[#This Row],[DESCRIÇÃO]],'INFO AÇÕES'!E:E,'INFO AÇÕES'!I:I),"BRL")</f>
        <v>BRL</v>
      </c>
      <c r="F348" s="75" t="s">
        <v>102</v>
      </c>
      <c r="G348" s="11">
        <v>1</v>
      </c>
      <c r="H348" s="12">
        <v>39.9</v>
      </c>
      <c r="I348" s="13" t="s">
        <v>107</v>
      </c>
      <c r="J348" s="51">
        <f t="shared" si="10"/>
        <v>39.9</v>
      </c>
      <c r="K348" s="13" t="s">
        <v>105</v>
      </c>
      <c r="L348">
        <f>MONTH(tb_investimentos[[#This Row],[DATA]])</f>
        <v>3</v>
      </c>
      <c r="M348">
        <f>YEAR(tb_investimentos[[#This Row],[DATA]])</f>
        <v>2029</v>
      </c>
      <c r="N348">
        <f>DAY(tb_investimentos[[#This Row],[DATA]])</f>
        <v>15</v>
      </c>
      <c r="O348">
        <f t="shared" si="11"/>
        <v>59.90000000000002</v>
      </c>
      <c r="P348">
        <f>tb_investimentos[[#This Row],[PREÇO MÉDIO PONDERADO]]*tb_investimentos[[#This Row],[QUANTIDADE]]</f>
        <v>59.90000000000002</v>
      </c>
      <c r="Q348" s="58" t="str">
        <f ca="1">IFERROR(_xlfn.XLOOKUP(tb_investimentos[[#This Row],[DESCRIÇÃO]],tb_acoes[Símbolo do ticker],tb_acoes[Preço]),"")</f>
        <v/>
      </c>
      <c r="R348" s="58" t="str">
        <f ca="1">IFERROR(tb_investimentos[[#This Row],[QUANTIDADE]]*tb_investimentos[[#This Row],[PREÇO MERCADO]],"")</f>
        <v/>
      </c>
      <c r="S348" s="58" t="str">
        <f ca="1">IFERROR(tb_investimentos[[#This Row],[VALOR TOTAL MERCADO]]-tb_investimentos[[#This Row],[VALOR TOTAL PONDERADO]],"")</f>
        <v/>
      </c>
      <c r="T348" s="58" t="str">
        <f ca="1">IFERROR(_xlfn.XLOOKUP(tb_investimentos[[#This Row],[DESCRIÇÃO]],'INFO AÇÕES'!E:E,'INFO AÇÕES'!H:H),"")</f>
        <v/>
      </c>
      <c r="U348" s="59" t="str">
        <f ca="1">IFERROR((tb_investimentos[[#This Row],[VALOR TOTAL MERCADO]]-tb_investimentos[[#This Row],[VALOR TOTAL PONDERADO]])/tb_investimentos[[#This Row],[VALOR TOTAL PONDERADO]],"")</f>
        <v/>
      </c>
    </row>
    <row r="349" spans="2:21" hidden="1" x14ac:dyDescent="0.2">
      <c r="B349" s="13" t="s">
        <v>77</v>
      </c>
      <c r="C349" s="72">
        <v>47192</v>
      </c>
      <c r="D349" s="9" t="s">
        <v>78</v>
      </c>
      <c r="E349" s="11" t="str">
        <f>IF(tb_investimentos[[#This Row],[TIPO MOVIMENTAÇÃO]]="Aporte",_xlfn.XLOOKUP(tb_investimentos[[#This Row],[DESCRIÇÃO]],'INFO AÇÕES'!E:E,'INFO AÇÕES'!I:I),"BRL")</f>
        <v>BRL</v>
      </c>
      <c r="F349" s="75" t="s">
        <v>101</v>
      </c>
      <c r="G349" s="11">
        <v>1</v>
      </c>
      <c r="H349" s="12">
        <v>79.900000000000006</v>
      </c>
      <c r="I349" s="13" t="s">
        <v>107</v>
      </c>
      <c r="J349" s="51">
        <f t="shared" si="10"/>
        <v>79.900000000000006</v>
      </c>
      <c r="K349" s="13" t="s">
        <v>105</v>
      </c>
      <c r="L349">
        <f>MONTH(tb_investimentos[[#This Row],[DATA]])</f>
        <v>3</v>
      </c>
      <c r="M349">
        <f>YEAR(tb_investimentos[[#This Row],[DATA]])</f>
        <v>2029</v>
      </c>
      <c r="N349">
        <f>DAY(tb_investimentos[[#This Row],[DATA]])</f>
        <v>15</v>
      </c>
      <c r="O349">
        <f t="shared" si="11"/>
        <v>59.90000000000002</v>
      </c>
      <c r="P349">
        <f>tb_investimentos[[#This Row],[PREÇO MÉDIO PONDERADO]]*tb_investimentos[[#This Row],[QUANTIDADE]]</f>
        <v>59.90000000000002</v>
      </c>
      <c r="Q349" s="58" t="str">
        <f ca="1">IFERROR(_xlfn.XLOOKUP(tb_investimentos[[#This Row],[DESCRIÇÃO]],tb_acoes[Símbolo do ticker],tb_acoes[Preço]),"")</f>
        <v/>
      </c>
      <c r="R349" s="58" t="str">
        <f ca="1">IFERROR(tb_investimentos[[#This Row],[QUANTIDADE]]*tb_investimentos[[#This Row],[PREÇO MERCADO]],"")</f>
        <v/>
      </c>
      <c r="S349" s="58" t="str">
        <f ca="1">IFERROR(tb_investimentos[[#This Row],[VALOR TOTAL MERCADO]]-tb_investimentos[[#This Row],[VALOR TOTAL PONDERADO]],"")</f>
        <v/>
      </c>
      <c r="T349" s="58" t="str">
        <f ca="1">IFERROR(_xlfn.XLOOKUP(tb_investimentos[[#This Row],[DESCRIÇÃO]],'INFO AÇÕES'!E:E,'INFO AÇÕES'!H:H),"")</f>
        <v/>
      </c>
      <c r="U349" s="59" t="str">
        <f ca="1">IFERROR((tb_investimentos[[#This Row],[VALOR TOTAL MERCADO]]-tb_investimentos[[#This Row],[VALOR TOTAL PONDERADO]])/tb_investimentos[[#This Row],[VALOR TOTAL PONDERADO]],"")</f>
        <v/>
      </c>
    </row>
    <row r="350" spans="2:21" hidden="1" x14ac:dyDescent="0.2">
      <c r="B350" s="13" t="s">
        <v>77</v>
      </c>
      <c r="C350" s="72">
        <v>47192</v>
      </c>
      <c r="D350" s="9" t="s">
        <v>79</v>
      </c>
      <c r="E350" s="11" t="str">
        <f>IF(tb_investimentos[[#This Row],[TIPO MOVIMENTAÇÃO]]="Aporte",_xlfn.XLOOKUP(tb_investimentos[[#This Row],[DESCRIÇÃO]],'INFO AÇÕES'!E:E,'INFO AÇÕES'!I:I),"BRL")</f>
        <v>BRL</v>
      </c>
      <c r="F350" s="75" t="s">
        <v>100</v>
      </c>
      <c r="G350" s="11">
        <v>1</v>
      </c>
      <c r="H350" s="12">
        <v>110</v>
      </c>
      <c r="I350" s="13" t="s">
        <v>107</v>
      </c>
      <c r="J350" s="51">
        <f t="shared" si="10"/>
        <v>110</v>
      </c>
      <c r="K350" s="13" t="s">
        <v>105</v>
      </c>
      <c r="L350">
        <f>MONTH(tb_investimentos[[#This Row],[DATA]])</f>
        <v>3</v>
      </c>
      <c r="M350">
        <f>YEAR(tb_investimentos[[#This Row],[DATA]])</f>
        <v>2029</v>
      </c>
      <c r="N350">
        <f>DAY(tb_investimentos[[#This Row],[DATA]])</f>
        <v>15</v>
      </c>
      <c r="O350">
        <f t="shared" si="11"/>
        <v>110</v>
      </c>
      <c r="P350">
        <f>tb_investimentos[[#This Row],[PREÇO MÉDIO PONDERADO]]*tb_investimentos[[#This Row],[QUANTIDADE]]</f>
        <v>110</v>
      </c>
      <c r="Q350" s="58" t="str">
        <f ca="1">IFERROR(_xlfn.XLOOKUP(tb_investimentos[[#This Row],[DESCRIÇÃO]],tb_acoes[Símbolo do ticker],tb_acoes[Preço]),"")</f>
        <v/>
      </c>
      <c r="R350" s="58" t="str">
        <f ca="1">IFERROR(tb_investimentos[[#This Row],[QUANTIDADE]]*tb_investimentos[[#This Row],[PREÇO MERCADO]],"")</f>
        <v/>
      </c>
      <c r="S350" s="58" t="str">
        <f ca="1">IFERROR(tb_investimentos[[#This Row],[VALOR TOTAL MERCADO]]-tb_investimentos[[#This Row],[VALOR TOTAL PONDERADO]],"")</f>
        <v/>
      </c>
      <c r="T350" s="58" t="str">
        <f ca="1">IFERROR(_xlfn.XLOOKUP(tb_investimentos[[#This Row],[DESCRIÇÃO]],'INFO AÇÕES'!E:E,'INFO AÇÕES'!H:H),"")</f>
        <v/>
      </c>
      <c r="U350" s="59" t="str">
        <f ca="1">IFERROR((tb_investimentos[[#This Row],[VALOR TOTAL MERCADO]]-tb_investimentos[[#This Row],[VALOR TOTAL PONDERADO]])/tb_investimentos[[#This Row],[VALOR TOTAL PONDERADO]],"")</f>
        <v/>
      </c>
    </row>
    <row r="351" spans="2:21" hidden="1" x14ac:dyDescent="0.2">
      <c r="B351" s="13" t="s">
        <v>77</v>
      </c>
      <c r="C351" s="72">
        <v>47192</v>
      </c>
      <c r="D351" s="9" t="s">
        <v>80</v>
      </c>
      <c r="E351" s="11" t="str">
        <f>IF(tb_investimentos[[#This Row],[TIPO MOVIMENTAÇÃO]]="Aporte",_xlfn.XLOOKUP(tb_investimentos[[#This Row],[DESCRIÇÃO]],'INFO AÇÕES'!E:E,'INFO AÇÕES'!I:I),"BRL")</f>
        <v>BRL</v>
      </c>
      <c r="F351" s="75" t="s">
        <v>99</v>
      </c>
      <c r="G351" s="11">
        <v>1</v>
      </c>
      <c r="H351" s="12">
        <v>25</v>
      </c>
      <c r="I351" s="13" t="s">
        <v>107</v>
      </c>
      <c r="J351" s="51">
        <f t="shared" si="10"/>
        <v>25</v>
      </c>
      <c r="K351" s="13" t="s">
        <v>105</v>
      </c>
      <c r="L351">
        <f>MONTH(tb_investimentos[[#This Row],[DATA]])</f>
        <v>3</v>
      </c>
      <c r="M351">
        <f>YEAR(tb_investimentos[[#This Row],[DATA]])</f>
        <v>2029</v>
      </c>
      <c r="N351">
        <f>DAY(tb_investimentos[[#This Row],[DATA]])</f>
        <v>15</v>
      </c>
      <c r="O351">
        <f t="shared" si="11"/>
        <v>25</v>
      </c>
      <c r="P351">
        <f>tb_investimentos[[#This Row],[PREÇO MÉDIO PONDERADO]]*tb_investimentos[[#This Row],[QUANTIDADE]]</f>
        <v>25</v>
      </c>
      <c r="Q351" s="58" t="str">
        <f ca="1">IFERROR(_xlfn.XLOOKUP(tb_investimentos[[#This Row],[DESCRIÇÃO]],tb_acoes[Símbolo do ticker],tb_acoes[Preço]),"")</f>
        <v/>
      </c>
      <c r="R351" s="58" t="str">
        <f ca="1">IFERROR(tb_investimentos[[#This Row],[QUANTIDADE]]*tb_investimentos[[#This Row],[PREÇO MERCADO]],"")</f>
        <v/>
      </c>
      <c r="S351" s="58" t="str">
        <f ca="1">IFERROR(tb_investimentos[[#This Row],[VALOR TOTAL MERCADO]]-tb_investimentos[[#This Row],[VALOR TOTAL PONDERADO]],"")</f>
        <v/>
      </c>
      <c r="T351" s="58" t="str">
        <f ca="1">IFERROR(_xlfn.XLOOKUP(tb_investimentos[[#This Row],[DESCRIÇÃO]],'INFO AÇÕES'!E:E,'INFO AÇÕES'!H:H),"")</f>
        <v/>
      </c>
      <c r="U351" s="59" t="str">
        <f ca="1">IFERROR((tb_investimentos[[#This Row],[VALOR TOTAL MERCADO]]-tb_investimentos[[#This Row],[VALOR TOTAL PONDERADO]])/tb_investimentos[[#This Row],[VALOR TOTAL PONDERADO]],"")</f>
        <v/>
      </c>
    </row>
    <row r="352" spans="2:21" hidden="1" x14ac:dyDescent="0.2">
      <c r="B352" s="13" t="s">
        <v>72</v>
      </c>
      <c r="C352" s="72">
        <v>47213</v>
      </c>
      <c r="D352" s="9" t="s">
        <v>76</v>
      </c>
      <c r="E352" s="11" t="str">
        <f>IF(tb_investimentos[[#This Row],[TIPO MOVIMENTAÇÃO]]="Aporte",_xlfn.XLOOKUP(tb_investimentos[[#This Row],[DESCRIÇÃO]],'INFO AÇÕES'!E:E,'INFO AÇÕES'!I:I),"BRL")</f>
        <v>BRL</v>
      </c>
      <c r="F352" s="75" t="s">
        <v>73</v>
      </c>
      <c r="G352" s="11">
        <v>1</v>
      </c>
      <c r="H352" s="12">
        <v>8000</v>
      </c>
      <c r="I352" s="13" t="s">
        <v>107</v>
      </c>
      <c r="J352" s="51">
        <f t="shared" si="10"/>
        <v>8000</v>
      </c>
      <c r="K352" s="13" t="s">
        <v>105</v>
      </c>
      <c r="L352">
        <f>MONTH(tb_investimentos[[#This Row],[DATA]])</f>
        <v>4</v>
      </c>
      <c r="M352">
        <f>YEAR(tb_investimentos[[#This Row],[DATA]])</f>
        <v>2029</v>
      </c>
      <c r="N352">
        <f>DAY(tb_investimentos[[#This Row],[DATA]])</f>
        <v>5</v>
      </c>
      <c r="O352">
        <f t="shared" si="11"/>
        <v>7801.7948717948721</v>
      </c>
      <c r="P352">
        <f>tb_investimentos[[#This Row],[PREÇO MÉDIO PONDERADO]]*tb_investimentos[[#This Row],[QUANTIDADE]]</f>
        <v>7801.7948717948721</v>
      </c>
      <c r="Q352" s="58" t="str">
        <f ca="1">IFERROR(_xlfn.XLOOKUP(tb_investimentos[[#This Row],[DESCRIÇÃO]],tb_acoes[Símbolo do ticker],tb_acoes[Preço]),"")</f>
        <v/>
      </c>
      <c r="R352" s="58" t="str">
        <f ca="1">IFERROR(tb_investimentos[[#This Row],[QUANTIDADE]]*tb_investimentos[[#This Row],[PREÇO MERCADO]],"")</f>
        <v/>
      </c>
      <c r="S352" s="58" t="str">
        <f ca="1">IFERROR(tb_investimentos[[#This Row],[VALOR TOTAL MERCADO]]-tb_investimentos[[#This Row],[VALOR TOTAL PONDERADO]],"")</f>
        <v/>
      </c>
      <c r="T352" s="58" t="str">
        <f ca="1">IFERROR(_xlfn.XLOOKUP(tb_investimentos[[#This Row],[DESCRIÇÃO]],'INFO AÇÕES'!E:E,'INFO AÇÕES'!H:H),"")</f>
        <v/>
      </c>
      <c r="U352" s="59" t="str">
        <f ca="1">IFERROR((tb_investimentos[[#This Row],[VALOR TOTAL MERCADO]]-tb_investimentos[[#This Row],[VALOR TOTAL PONDERADO]])/tb_investimentos[[#This Row],[VALOR TOTAL PONDERADO]],"")</f>
        <v/>
      </c>
    </row>
    <row r="353" spans="2:21" hidden="1" x14ac:dyDescent="0.2">
      <c r="B353" s="13" t="s">
        <v>39</v>
      </c>
      <c r="C353" s="10">
        <v>47213</v>
      </c>
      <c r="D353" s="9"/>
      <c r="E353" s="11">
        <f ca="1">IF(tb_investimentos[[#This Row],[TIPO MOVIMENTAÇÃO]]="Aporte",_xlfn.XLOOKUP(tb_investimentos[[#This Row],[DESCRIÇÃO]],'INFO AÇÕES'!E:E,'INFO AÇÕES'!I:I),"BRL")</f>
        <v>0</v>
      </c>
      <c r="F353" s="73" t="s">
        <v>10</v>
      </c>
      <c r="G353" s="11">
        <v>1</v>
      </c>
      <c r="H353" s="12">
        <v>3000</v>
      </c>
      <c r="I353" s="13" t="s">
        <v>58</v>
      </c>
      <c r="J353" s="51">
        <f t="shared" si="10"/>
        <v>3000</v>
      </c>
      <c r="K353" s="11" t="s">
        <v>105</v>
      </c>
      <c r="L353">
        <f>MONTH(tb_investimentos[[#This Row],[DATA]])</f>
        <v>4</v>
      </c>
      <c r="M353">
        <f>YEAR(tb_investimentos[[#This Row],[DATA]])</f>
        <v>2029</v>
      </c>
      <c r="N353">
        <f>DAY(tb_investimentos[[#This Row],[DATA]])</f>
        <v>5</v>
      </c>
      <c r="O353" t="e">
        <f t="shared" si="11"/>
        <v>#DIV/0!</v>
      </c>
      <c r="P353" t="e">
        <f>tb_investimentos[[#This Row],[PREÇO MÉDIO PONDERADO]]*tb_investimentos[[#This Row],[QUANTIDADE]]</f>
        <v>#DIV/0!</v>
      </c>
      <c r="Q353" s="58" t="str">
        <f ca="1">IFERROR(_xlfn.XLOOKUP(tb_investimentos[[#This Row],[DESCRIÇÃO]],tb_acoes[Símbolo do ticker],tb_acoes[Preço]),"")</f>
        <v/>
      </c>
      <c r="R353" s="58" t="str">
        <f ca="1">IFERROR(tb_investimentos[[#This Row],[QUANTIDADE]]*tb_investimentos[[#This Row],[PREÇO MERCADO]],"")</f>
        <v/>
      </c>
      <c r="S353" s="58" t="str">
        <f ca="1">IFERROR(tb_investimentos[[#This Row],[VALOR TOTAL MERCADO]]-tb_investimentos[[#This Row],[VALOR TOTAL PONDERADO]],"")</f>
        <v/>
      </c>
      <c r="T353" s="58" t="str">
        <f ca="1">IFERROR(_xlfn.XLOOKUP(tb_investimentos[[#This Row],[DESCRIÇÃO]],'INFO AÇÕES'!E:E,'INFO AÇÕES'!H:H),"")</f>
        <v/>
      </c>
      <c r="U353" s="59" t="str">
        <f ca="1">IFERROR((tb_investimentos[[#This Row],[VALOR TOTAL MERCADO]]-tb_investimentos[[#This Row],[VALOR TOTAL PONDERADO]])/tb_investimentos[[#This Row],[VALOR TOTAL PONDERADO]],"")</f>
        <v/>
      </c>
    </row>
    <row r="354" spans="2:21" hidden="1" x14ac:dyDescent="0.2">
      <c r="B354" s="13" t="s">
        <v>77</v>
      </c>
      <c r="C354" s="10">
        <v>47223</v>
      </c>
      <c r="D354" s="9" t="s">
        <v>88</v>
      </c>
      <c r="E354" s="11" t="str">
        <f>IF(tb_investimentos[[#This Row],[TIPO MOVIMENTAÇÃO]]="Aporte",_xlfn.XLOOKUP(tb_investimentos[[#This Row],[DESCRIÇÃO]],'INFO AÇÕES'!E:E,'INFO AÇÕES'!I:I),"BRL")</f>
        <v>BRL</v>
      </c>
      <c r="F354" s="75" t="s">
        <v>91</v>
      </c>
      <c r="G354" s="11">
        <v>1</v>
      </c>
      <c r="H354" s="12">
        <v>1962.26314</v>
      </c>
      <c r="I354" s="13" t="s">
        <v>107</v>
      </c>
      <c r="J354" s="51">
        <f t="shared" si="10"/>
        <v>1962.26314</v>
      </c>
      <c r="K354" s="13" t="s">
        <v>105</v>
      </c>
      <c r="L354">
        <f>MONTH(tb_investimentos[[#This Row],[DATA]])</f>
        <v>4</v>
      </c>
      <c r="M354">
        <f>YEAR(tb_investimentos[[#This Row],[DATA]])</f>
        <v>2029</v>
      </c>
      <c r="N354">
        <f>DAY(tb_investimentos[[#This Row],[DATA]])</f>
        <v>15</v>
      </c>
      <c r="O354">
        <f t="shared" si="11"/>
        <v>1629.9930261538464</v>
      </c>
      <c r="P354">
        <f>tb_investimentos[[#This Row],[PREÇO MÉDIO PONDERADO]]*tb_investimentos[[#This Row],[QUANTIDADE]]</f>
        <v>1629.9930261538464</v>
      </c>
      <c r="Q354" s="58" t="str">
        <f ca="1">IFERROR(_xlfn.XLOOKUP(tb_investimentos[[#This Row],[DESCRIÇÃO]],tb_acoes[Símbolo do ticker],tb_acoes[Preço]),"")</f>
        <v/>
      </c>
      <c r="R354" s="58" t="str">
        <f ca="1">IFERROR(tb_investimentos[[#This Row],[QUANTIDADE]]*tb_investimentos[[#This Row],[PREÇO MERCADO]],"")</f>
        <v/>
      </c>
      <c r="S354" s="58" t="str">
        <f ca="1">IFERROR(tb_investimentos[[#This Row],[VALOR TOTAL MERCADO]]-tb_investimentos[[#This Row],[VALOR TOTAL PONDERADO]],"")</f>
        <v/>
      </c>
      <c r="T354" s="58" t="str">
        <f ca="1">IFERROR(_xlfn.XLOOKUP(tb_investimentos[[#This Row],[DESCRIÇÃO]],'INFO AÇÕES'!E:E,'INFO AÇÕES'!H:H),"")</f>
        <v/>
      </c>
      <c r="U354" s="59" t="str">
        <f ca="1">IFERROR((tb_investimentos[[#This Row],[VALOR TOTAL MERCADO]]-tb_investimentos[[#This Row],[VALOR TOTAL PONDERADO]])/tb_investimentos[[#This Row],[VALOR TOTAL PONDERADO]],"")</f>
        <v/>
      </c>
    </row>
    <row r="355" spans="2:21" hidden="1" x14ac:dyDescent="0.2">
      <c r="B355" s="13" t="s">
        <v>77</v>
      </c>
      <c r="C355" s="10">
        <v>47223</v>
      </c>
      <c r="D355" s="9" t="s">
        <v>130</v>
      </c>
      <c r="E355" s="11" t="str">
        <f>IF(tb_investimentos[[#This Row],[TIPO MOVIMENTAÇÃO]]="Aporte",_xlfn.XLOOKUP(tb_investimentos[[#This Row],[DESCRIÇÃO]],'INFO AÇÕES'!E:E,'INFO AÇÕES'!I:I),"BRL")</f>
        <v>BRL</v>
      </c>
      <c r="F355" s="75" t="s">
        <v>83</v>
      </c>
      <c r="G355" s="11">
        <v>1</v>
      </c>
      <c r="H355" s="12">
        <v>400</v>
      </c>
      <c r="I355" s="13" t="s">
        <v>107</v>
      </c>
      <c r="J355" s="51">
        <f t="shared" si="10"/>
        <v>400</v>
      </c>
      <c r="K355" s="13" t="s">
        <v>105</v>
      </c>
      <c r="L355">
        <f>MONTH(tb_investimentos[[#This Row],[DATA]])</f>
        <v>4</v>
      </c>
      <c r="M355">
        <f>YEAR(tb_investimentos[[#This Row],[DATA]])</f>
        <v>2029</v>
      </c>
      <c r="N355">
        <f>DAY(tb_investimentos[[#This Row],[DATA]])</f>
        <v>15</v>
      </c>
      <c r="O355">
        <f t="shared" si="11"/>
        <v>400</v>
      </c>
      <c r="P355">
        <f>tb_investimentos[[#This Row],[PREÇO MÉDIO PONDERADO]]*tb_investimentos[[#This Row],[QUANTIDADE]]</f>
        <v>400</v>
      </c>
      <c r="Q355" s="58" t="str">
        <f ca="1">IFERROR(_xlfn.XLOOKUP(tb_investimentos[[#This Row],[DESCRIÇÃO]],tb_acoes[Símbolo do ticker],tb_acoes[Preço]),"")</f>
        <v/>
      </c>
      <c r="R355" s="58" t="str">
        <f ca="1">IFERROR(tb_investimentos[[#This Row],[QUANTIDADE]]*tb_investimentos[[#This Row],[PREÇO MERCADO]],"")</f>
        <v/>
      </c>
      <c r="S355" s="58" t="str">
        <f ca="1">IFERROR(tb_investimentos[[#This Row],[VALOR TOTAL MERCADO]]-tb_investimentos[[#This Row],[VALOR TOTAL PONDERADO]],"")</f>
        <v/>
      </c>
      <c r="T355" s="58" t="str">
        <f ca="1">IFERROR(_xlfn.XLOOKUP(tb_investimentos[[#This Row],[DESCRIÇÃO]],'INFO AÇÕES'!E:E,'INFO AÇÕES'!H:H),"")</f>
        <v/>
      </c>
      <c r="U355" s="59" t="str">
        <f ca="1">IFERROR((tb_investimentos[[#This Row],[VALOR TOTAL MERCADO]]-tb_investimentos[[#This Row],[VALOR TOTAL PONDERADO]])/tb_investimentos[[#This Row],[VALOR TOTAL PONDERADO]],"")</f>
        <v/>
      </c>
    </row>
    <row r="356" spans="2:21" hidden="1" x14ac:dyDescent="0.2">
      <c r="B356" s="13" t="s">
        <v>77</v>
      </c>
      <c r="C356" s="72">
        <v>47223</v>
      </c>
      <c r="D356" s="9" t="s">
        <v>78</v>
      </c>
      <c r="E356" s="11" t="str">
        <f>IF(tb_investimentos[[#This Row],[TIPO MOVIMENTAÇÃO]]="Aporte",_xlfn.XLOOKUP(tb_investimentos[[#This Row],[DESCRIÇÃO]],'INFO AÇÕES'!E:E,'INFO AÇÕES'!I:I),"BRL")</f>
        <v>BRL</v>
      </c>
      <c r="F356" s="75" t="s">
        <v>102</v>
      </c>
      <c r="G356" s="11">
        <v>1</v>
      </c>
      <c r="H356" s="12">
        <v>39.9</v>
      </c>
      <c r="I356" s="13" t="s">
        <v>107</v>
      </c>
      <c r="J356" s="51">
        <f t="shared" si="10"/>
        <v>39.9</v>
      </c>
      <c r="K356" s="13" t="s">
        <v>105</v>
      </c>
      <c r="L356">
        <f>MONTH(tb_investimentos[[#This Row],[DATA]])</f>
        <v>4</v>
      </c>
      <c r="M356">
        <f>YEAR(tb_investimentos[[#This Row],[DATA]])</f>
        <v>2029</v>
      </c>
      <c r="N356">
        <f>DAY(tb_investimentos[[#This Row],[DATA]])</f>
        <v>15</v>
      </c>
      <c r="O356">
        <f t="shared" si="11"/>
        <v>59.90000000000002</v>
      </c>
      <c r="P356">
        <f>tb_investimentos[[#This Row],[PREÇO MÉDIO PONDERADO]]*tb_investimentos[[#This Row],[QUANTIDADE]]</f>
        <v>59.90000000000002</v>
      </c>
      <c r="Q356" s="58" t="str">
        <f ca="1">IFERROR(_xlfn.XLOOKUP(tb_investimentos[[#This Row],[DESCRIÇÃO]],tb_acoes[Símbolo do ticker],tb_acoes[Preço]),"")</f>
        <v/>
      </c>
      <c r="R356" s="58" t="str">
        <f ca="1">IFERROR(tb_investimentos[[#This Row],[QUANTIDADE]]*tb_investimentos[[#This Row],[PREÇO MERCADO]],"")</f>
        <v/>
      </c>
      <c r="S356" s="58" t="str">
        <f ca="1">IFERROR(tb_investimentos[[#This Row],[VALOR TOTAL MERCADO]]-tb_investimentos[[#This Row],[VALOR TOTAL PONDERADO]],"")</f>
        <v/>
      </c>
      <c r="T356" s="58" t="str">
        <f ca="1">IFERROR(_xlfn.XLOOKUP(tb_investimentos[[#This Row],[DESCRIÇÃO]],'INFO AÇÕES'!E:E,'INFO AÇÕES'!H:H),"")</f>
        <v/>
      </c>
      <c r="U356" s="59" t="str">
        <f ca="1">IFERROR((tb_investimentos[[#This Row],[VALOR TOTAL MERCADO]]-tb_investimentos[[#This Row],[VALOR TOTAL PONDERADO]])/tb_investimentos[[#This Row],[VALOR TOTAL PONDERADO]],"")</f>
        <v/>
      </c>
    </row>
    <row r="357" spans="2:21" hidden="1" x14ac:dyDescent="0.2">
      <c r="B357" s="13" t="s">
        <v>77</v>
      </c>
      <c r="C357" s="72">
        <v>47223</v>
      </c>
      <c r="D357" s="9" t="s">
        <v>78</v>
      </c>
      <c r="E357" s="11" t="str">
        <f>IF(tb_investimentos[[#This Row],[TIPO MOVIMENTAÇÃO]]="Aporte",_xlfn.XLOOKUP(tb_investimentos[[#This Row],[DESCRIÇÃO]],'INFO AÇÕES'!E:E,'INFO AÇÕES'!I:I),"BRL")</f>
        <v>BRL</v>
      </c>
      <c r="F357" s="75" t="s">
        <v>101</v>
      </c>
      <c r="G357" s="11">
        <v>1</v>
      </c>
      <c r="H357" s="12">
        <v>79.900000000000006</v>
      </c>
      <c r="I357" s="13" t="s">
        <v>107</v>
      </c>
      <c r="J357" s="51">
        <f t="shared" si="10"/>
        <v>79.900000000000006</v>
      </c>
      <c r="K357" s="13" t="s">
        <v>105</v>
      </c>
      <c r="L357">
        <f>MONTH(tb_investimentos[[#This Row],[DATA]])</f>
        <v>4</v>
      </c>
      <c r="M357">
        <f>YEAR(tb_investimentos[[#This Row],[DATA]])</f>
        <v>2029</v>
      </c>
      <c r="N357">
        <f>DAY(tb_investimentos[[#This Row],[DATA]])</f>
        <v>15</v>
      </c>
      <c r="O357">
        <f t="shared" si="11"/>
        <v>59.90000000000002</v>
      </c>
      <c r="P357">
        <f>tb_investimentos[[#This Row],[PREÇO MÉDIO PONDERADO]]*tb_investimentos[[#This Row],[QUANTIDADE]]</f>
        <v>59.90000000000002</v>
      </c>
      <c r="Q357" s="58" t="str">
        <f ca="1">IFERROR(_xlfn.XLOOKUP(tb_investimentos[[#This Row],[DESCRIÇÃO]],tb_acoes[Símbolo do ticker],tb_acoes[Preço]),"")</f>
        <v/>
      </c>
      <c r="R357" s="58" t="str">
        <f ca="1">IFERROR(tb_investimentos[[#This Row],[QUANTIDADE]]*tb_investimentos[[#This Row],[PREÇO MERCADO]],"")</f>
        <v/>
      </c>
      <c r="S357" s="58" t="str">
        <f ca="1">IFERROR(tb_investimentos[[#This Row],[VALOR TOTAL MERCADO]]-tb_investimentos[[#This Row],[VALOR TOTAL PONDERADO]],"")</f>
        <v/>
      </c>
      <c r="T357" s="58" t="str">
        <f ca="1">IFERROR(_xlfn.XLOOKUP(tb_investimentos[[#This Row],[DESCRIÇÃO]],'INFO AÇÕES'!E:E,'INFO AÇÕES'!H:H),"")</f>
        <v/>
      </c>
      <c r="U357" s="59" t="str">
        <f ca="1">IFERROR((tb_investimentos[[#This Row],[VALOR TOTAL MERCADO]]-tb_investimentos[[#This Row],[VALOR TOTAL PONDERADO]])/tb_investimentos[[#This Row],[VALOR TOTAL PONDERADO]],"")</f>
        <v/>
      </c>
    </row>
    <row r="358" spans="2:21" hidden="1" x14ac:dyDescent="0.2">
      <c r="B358" s="13" t="s">
        <v>77</v>
      </c>
      <c r="C358" s="72">
        <v>47223</v>
      </c>
      <c r="D358" s="9" t="s">
        <v>79</v>
      </c>
      <c r="E358" s="11" t="str">
        <f>IF(tb_investimentos[[#This Row],[TIPO MOVIMENTAÇÃO]]="Aporte",_xlfn.XLOOKUP(tb_investimentos[[#This Row],[DESCRIÇÃO]],'INFO AÇÕES'!E:E,'INFO AÇÕES'!I:I),"BRL")</f>
        <v>BRL</v>
      </c>
      <c r="F358" s="75" t="s">
        <v>100</v>
      </c>
      <c r="G358" s="11">
        <v>1</v>
      </c>
      <c r="H358" s="12">
        <v>110</v>
      </c>
      <c r="I358" s="13" t="s">
        <v>107</v>
      </c>
      <c r="J358" s="51">
        <f t="shared" si="10"/>
        <v>110</v>
      </c>
      <c r="K358" s="13" t="s">
        <v>105</v>
      </c>
      <c r="L358">
        <f>MONTH(tb_investimentos[[#This Row],[DATA]])</f>
        <v>4</v>
      </c>
      <c r="M358">
        <f>YEAR(tb_investimentos[[#This Row],[DATA]])</f>
        <v>2029</v>
      </c>
      <c r="N358">
        <f>DAY(tb_investimentos[[#This Row],[DATA]])</f>
        <v>15</v>
      </c>
      <c r="O358">
        <f t="shared" si="11"/>
        <v>110</v>
      </c>
      <c r="P358">
        <f>tb_investimentos[[#This Row],[PREÇO MÉDIO PONDERADO]]*tb_investimentos[[#This Row],[QUANTIDADE]]</f>
        <v>110</v>
      </c>
      <c r="Q358" s="58" t="str">
        <f ca="1">IFERROR(_xlfn.XLOOKUP(tb_investimentos[[#This Row],[DESCRIÇÃO]],tb_acoes[Símbolo do ticker],tb_acoes[Preço]),"")</f>
        <v/>
      </c>
      <c r="R358" s="58" t="str">
        <f ca="1">IFERROR(tb_investimentos[[#This Row],[QUANTIDADE]]*tb_investimentos[[#This Row],[PREÇO MERCADO]],"")</f>
        <v/>
      </c>
      <c r="S358" s="58" t="str">
        <f ca="1">IFERROR(tb_investimentos[[#This Row],[VALOR TOTAL MERCADO]]-tb_investimentos[[#This Row],[VALOR TOTAL PONDERADO]],"")</f>
        <v/>
      </c>
      <c r="T358" s="58" t="str">
        <f ca="1">IFERROR(_xlfn.XLOOKUP(tb_investimentos[[#This Row],[DESCRIÇÃO]],'INFO AÇÕES'!E:E,'INFO AÇÕES'!H:H),"")</f>
        <v/>
      </c>
      <c r="U358" s="59" t="str">
        <f ca="1">IFERROR((tb_investimentos[[#This Row],[VALOR TOTAL MERCADO]]-tb_investimentos[[#This Row],[VALOR TOTAL PONDERADO]])/tb_investimentos[[#This Row],[VALOR TOTAL PONDERADO]],"")</f>
        <v/>
      </c>
    </row>
    <row r="359" spans="2:21" hidden="1" x14ac:dyDescent="0.2">
      <c r="B359" s="13" t="s">
        <v>77</v>
      </c>
      <c r="C359" s="72">
        <v>47223</v>
      </c>
      <c r="D359" s="9" t="s">
        <v>80</v>
      </c>
      <c r="E359" s="11" t="str">
        <f>IF(tb_investimentos[[#This Row],[TIPO MOVIMENTAÇÃO]]="Aporte",_xlfn.XLOOKUP(tb_investimentos[[#This Row],[DESCRIÇÃO]],'INFO AÇÕES'!E:E,'INFO AÇÕES'!I:I),"BRL")</f>
        <v>BRL</v>
      </c>
      <c r="F359" s="75" t="s">
        <v>99</v>
      </c>
      <c r="G359" s="11">
        <v>1</v>
      </c>
      <c r="H359" s="12">
        <v>25</v>
      </c>
      <c r="I359" s="13" t="s">
        <v>107</v>
      </c>
      <c r="J359" s="51">
        <f t="shared" si="10"/>
        <v>25</v>
      </c>
      <c r="K359" s="13" t="s">
        <v>105</v>
      </c>
      <c r="L359">
        <f>MONTH(tb_investimentos[[#This Row],[DATA]])</f>
        <v>4</v>
      </c>
      <c r="M359">
        <f>YEAR(tb_investimentos[[#This Row],[DATA]])</f>
        <v>2029</v>
      </c>
      <c r="N359">
        <f>DAY(tb_investimentos[[#This Row],[DATA]])</f>
        <v>15</v>
      </c>
      <c r="O359">
        <f t="shared" si="11"/>
        <v>25</v>
      </c>
      <c r="P359">
        <f>tb_investimentos[[#This Row],[PREÇO MÉDIO PONDERADO]]*tb_investimentos[[#This Row],[QUANTIDADE]]</f>
        <v>25</v>
      </c>
      <c r="Q359" s="58" t="str">
        <f ca="1">IFERROR(_xlfn.XLOOKUP(tb_investimentos[[#This Row],[DESCRIÇÃO]],tb_acoes[Símbolo do ticker],tb_acoes[Preço]),"")</f>
        <v/>
      </c>
      <c r="R359" s="58" t="str">
        <f ca="1">IFERROR(tb_investimentos[[#This Row],[QUANTIDADE]]*tb_investimentos[[#This Row],[PREÇO MERCADO]],"")</f>
        <v/>
      </c>
      <c r="S359" s="58" t="str">
        <f ca="1">IFERROR(tb_investimentos[[#This Row],[VALOR TOTAL MERCADO]]-tb_investimentos[[#This Row],[VALOR TOTAL PONDERADO]],"")</f>
        <v/>
      </c>
      <c r="T359" s="58" t="str">
        <f ca="1">IFERROR(_xlfn.XLOOKUP(tb_investimentos[[#This Row],[DESCRIÇÃO]],'INFO AÇÕES'!E:E,'INFO AÇÕES'!H:H),"")</f>
        <v/>
      </c>
      <c r="U359" s="59" t="str">
        <f ca="1">IFERROR((tb_investimentos[[#This Row],[VALOR TOTAL MERCADO]]-tb_investimentos[[#This Row],[VALOR TOTAL PONDERADO]])/tb_investimentos[[#This Row],[VALOR TOTAL PONDERADO]],"")</f>
        <v/>
      </c>
    </row>
    <row r="360" spans="2:21" hidden="1" x14ac:dyDescent="0.2">
      <c r="B360" s="13" t="s">
        <v>72</v>
      </c>
      <c r="C360" s="72">
        <v>47243</v>
      </c>
      <c r="D360" s="9" t="s">
        <v>76</v>
      </c>
      <c r="E360" s="11" t="str">
        <f>IF(tb_investimentos[[#This Row],[TIPO MOVIMENTAÇÃO]]="Aporte",_xlfn.XLOOKUP(tb_investimentos[[#This Row],[DESCRIÇÃO]],'INFO AÇÕES'!E:E,'INFO AÇÕES'!I:I),"BRL")</f>
        <v>BRL</v>
      </c>
      <c r="F360" s="75" t="s">
        <v>73</v>
      </c>
      <c r="G360" s="11">
        <v>1</v>
      </c>
      <c r="H360" s="12">
        <v>8000</v>
      </c>
      <c r="I360" s="13" t="s">
        <v>107</v>
      </c>
      <c r="J360" s="51">
        <f t="shared" si="10"/>
        <v>8000</v>
      </c>
      <c r="K360" s="13" t="s">
        <v>105</v>
      </c>
      <c r="L360">
        <f>MONTH(tb_investimentos[[#This Row],[DATA]])</f>
        <v>5</v>
      </c>
      <c r="M360">
        <f>YEAR(tb_investimentos[[#This Row],[DATA]])</f>
        <v>2029</v>
      </c>
      <c r="N360">
        <f>DAY(tb_investimentos[[#This Row],[DATA]])</f>
        <v>5</v>
      </c>
      <c r="O360">
        <f t="shared" si="11"/>
        <v>7801.7948717948721</v>
      </c>
      <c r="P360">
        <f>tb_investimentos[[#This Row],[PREÇO MÉDIO PONDERADO]]*tb_investimentos[[#This Row],[QUANTIDADE]]</f>
        <v>7801.7948717948721</v>
      </c>
      <c r="Q360" s="58" t="str">
        <f ca="1">IFERROR(_xlfn.XLOOKUP(tb_investimentos[[#This Row],[DESCRIÇÃO]],tb_acoes[Símbolo do ticker],tb_acoes[Preço]),"")</f>
        <v/>
      </c>
      <c r="R360" s="58" t="str">
        <f ca="1">IFERROR(tb_investimentos[[#This Row],[QUANTIDADE]]*tb_investimentos[[#This Row],[PREÇO MERCADO]],"")</f>
        <v/>
      </c>
      <c r="S360" s="58" t="str">
        <f ca="1">IFERROR(tb_investimentos[[#This Row],[VALOR TOTAL MERCADO]]-tb_investimentos[[#This Row],[VALOR TOTAL PONDERADO]],"")</f>
        <v/>
      </c>
      <c r="T360" s="58" t="str">
        <f ca="1">IFERROR(_xlfn.XLOOKUP(tb_investimentos[[#This Row],[DESCRIÇÃO]],'INFO AÇÕES'!E:E,'INFO AÇÕES'!H:H),"")</f>
        <v/>
      </c>
      <c r="U360" s="59" t="str">
        <f ca="1">IFERROR((tb_investimentos[[#This Row],[VALOR TOTAL MERCADO]]-tb_investimentos[[#This Row],[VALOR TOTAL PONDERADO]])/tb_investimentos[[#This Row],[VALOR TOTAL PONDERADO]],"")</f>
        <v/>
      </c>
    </row>
    <row r="361" spans="2:21" hidden="1" x14ac:dyDescent="0.2">
      <c r="B361" s="13" t="s">
        <v>39</v>
      </c>
      <c r="C361" s="10">
        <v>47243</v>
      </c>
      <c r="D361" s="9"/>
      <c r="E361" s="11">
        <f ca="1">IF(tb_investimentos[[#This Row],[TIPO MOVIMENTAÇÃO]]="Aporte",_xlfn.XLOOKUP(tb_investimentos[[#This Row],[DESCRIÇÃO]],'INFO AÇÕES'!E:E,'INFO AÇÕES'!I:I),"BRL")</f>
        <v>0</v>
      </c>
      <c r="F361" s="73" t="s">
        <v>10</v>
      </c>
      <c r="G361" s="11">
        <v>1</v>
      </c>
      <c r="H361" s="12">
        <v>3000</v>
      </c>
      <c r="I361" s="13" t="s">
        <v>58</v>
      </c>
      <c r="J361" s="51">
        <f t="shared" si="10"/>
        <v>3000</v>
      </c>
      <c r="K361" s="11" t="s">
        <v>105</v>
      </c>
      <c r="L361">
        <f>MONTH(tb_investimentos[[#This Row],[DATA]])</f>
        <v>5</v>
      </c>
      <c r="M361">
        <f>YEAR(tb_investimentos[[#This Row],[DATA]])</f>
        <v>2029</v>
      </c>
      <c r="N361">
        <f>DAY(tb_investimentos[[#This Row],[DATA]])</f>
        <v>5</v>
      </c>
      <c r="O361" t="e">
        <f t="shared" si="11"/>
        <v>#DIV/0!</v>
      </c>
      <c r="P361" t="e">
        <f>tb_investimentos[[#This Row],[PREÇO MÉDIO PONDERADO]]*tb_investimentos[[#This Row],[QUANTIDADE]]</f>
        <v>#DIV/0!</v>
      </c>
      <c r="Q361" s="58" t="str">
        <f ca="1">IFERROR(_xlfn.XLOOKUP(tb_investimentos[[#This Row],[DESCRIÇÃO]],tb_acoes[Símbolo do ticker],tb_acoes[Preço]),"")</f>
        <v/>
      </c>
      <c r="R361" s="58" t="str">
        <f ca="1">IFERROR(tb_investimentos[[#This Row],[QUANTIDADE]]*tb_investimentos[[#This Row],[PREÇO MERCADO]],"")</f>
        <v/>
      </c>
      <c r="S361" s="58" t="str">
        <f ca="1">IFERROR(tb_investimentos[[#This Row],[VALOR TOTAL MERCADO]]-tb_investimentos[[#This Row],[VALOR TOTAL PONDERADO]],"")</f>
        <v/>
      </c>
      <c r="T361" s="58" t="str">
        <f ca="1">IFERROR(_xlfn.XLOOKUP(tb_investimentos[[#This Row],[DESCRIÇÃO]],'INFO AÇÕES'!E:E,'INFO AÇÕES'!H:H),"")</f>
        <v/>
      </c>
      <c r="U361" s="59" t="str">
        <f ca="1">IFERROR((tb_investimentos[[#This Row],[VALOR TOTAL MERCADO]]-tb_investimentos[[#This Row],[VALOR TOTAL PONDERADO]])/tb_investimentos[[#This Row],[VALOR TOTAL PONDERADO]],"")</f>
        <v/>
      </c>
    </row>
    <row r="362" spans="2:21" hidden="1" x14ac:dyDescent="0.2">
      <c r="B362" s="13" t="s">
        <v>77</v>
      </c>
      <c r="C362" s="10">
        <v>47253</v>
      </c>
      <c r="D362" s="9" t="s">
        <v>88</v>
      </c>
      <c r="E362" s="11" t="str">
        <f>IF(tb_investimentos[[#This Row],[TIPO MOVIMENTAÇÃO]]="Aporte",_xlfn.XLOOKUP(tb_investimentos[[#This Row],[DESCRIÇÃO]],'INFO AÇÕES'!E:E,'INFO AÇÕES'!I:I),"BRL")</f>
        <v>BRL</v>
      </c>
      <c r="F362" s="75" t="s">
        <v>131</v>
      </c>
      <c r="G362" s="11">
        <v>1</v>
      </c>
      <c r="H362" s="12">
        <v>2192.2012800000002</v>
      </c>
      <c r="I362" s="13" t="s">
        <v>107</v>
      </c>
      <c r="J362" s="51">
        <f t="shared" si="10"/>
        <v>2192.2012800000002</v>
      </c>
      <c r="K362" s="13" t="s">
        <v>105</v>
      </c>
      <c r="L362">
        <f>MONTH(tb_investimentos[[#This Row],[DATA]])</f>
        <v>5</v>
      </c>
      <c r="M362">
        <f>YEAR(tb_investimentos[[#This Row],[DATA]])</f>
        <v>2029</v>
      </c>
      <c r="N362">
        <f>DAY(tb_investimentos[[#This Row],[DATA]])</f>
        <v>15</v>
      </c>
      <c r="O362">
        <f t="shared" si="11"/>
        <v>1629.9930261538464</v>
      </c>
      <c r="P362">
        <f>tb_investimentos[[#This Row],[PREÇO MÉDIO PONDERADO]]*tb_investimentos[[#This Row],[QUANTIDADE]]</f>
        <v>1629.9930261538464</v>
      </c>
      <c r="Q362" s="58" t="str">
        <f ca="1">IFERROR(_xlfn.XLOOKUP(tb_investimentos[[#This Row],[DESCRIÇÃO]],tb_acoes[Símbolo do ticker],tb_acoes[Preço]),"")</f>
        <v/>
      </c>
      <c r="R362" s="58" t="str">
        <f ca="1">IFERROR(tb_investimentos[[#This Row],[QUANTIDADE]]*tb_investimentos[[#This Row],[PREÇO MERCADO]],"")</f>
        <v/>
      </c>
      <c r="S362" s="58" t="str">
        <f ca="1">IFERROR(tb_investimentos[[#This Row],[VALOR TOTAL MERCADO]]-tb_investimentos[[#This Row],[VALOR TOTAL PONDERADO]],"")</f>
        <v/>
      </c>
      <c r="T362" s="58" t="str">
        <f ca="1">IFERROR(_xlfn.XLOOKUP(tb_investimentos[[#This Row],[DESCRIÇÃO]],'INFO AÇÕES'!E:E,'INFO AÇÕES'!H:H),"")</f>
        <v/>
      </c>
      <c r="U362" s="59" t="str">
        <f ca="1">IFERROR((tb_investimentos[[#This Row],[VALOR TOTAL MERCADO]]-tb_investimentos[[#This Row],[VALOR TOTAL PONDERADO]])/tb_investimentos[[#This Row],[VALOR TOTAL PONDERADO]],"")</f>
        <v/>
      </c>
    </row>
    <row r="363" spans="2:21" hidden="1" x14ac:dyDescent="0.2">
      <c r="B363" s="13" t="s">
        <v>77</v>
      </c>
      <c r="C363" s="10">
        <v>47253</v>
      </c>
      <c r="D363" s="9" t="s">
        <v>130</v>
      </c>
      <c r="E363" s="11" t="str">
        <f>IF(tb_investimentos[[#This Row],[TIPO MOVIMENTAÇÃO]]="Aporte",_xlfn.XLOOKUP(tb_investimentos[[#This Row],[DESCRIÇÃO]],'INFO AÇÕES'!E:E,'INFO AÇÕES'!I:I),"BRL")</f>
        <v>BRL</v>
      </c>
      <c r="F363" s="75" t="s">
        <v>83</v>
      </c>
      <c r="G363" s="11">
        <v>1</v>
      </c>
      <c r="H363" s="12">
        <v>400</v>
      </c>
      <c r="I363" s="13" t="s">
        <v>107</v>
      </c>
      <c r="J363" s="51">
        <f t="shared" si="10"/>
        <v>400</v>
      </c>
      <c r="K363" s="13" t="s">
        <v>105</v>
      </c>
      <c r="L363">
        <f>MONTH(tb_investimentos[[#This Row],[DATA]])</f>
        <v>5</v>
      </c>
      <c r="M363">
        <f>YEAR(tb_investimentos[[#This Row],[DATA]])</f>
        <v>2029</v>
      </c>
      <c r="N363">
        <f>DAY(tb_investimentos[[#This Row],[DATA]])</f>
        <v>15</v>
      </c>
      <c r="O363">
        <f t="shared" si="11"/>
        <v>400</v>
      </c>
      <c r="P363">
        <f>tb_investimentos[[#This Row],[PREÇO MÉDIO PONDERADO]]*tb_investimentos[[#This Row],[QUANTIDADE]]</f>
        <v>400</v>
      </c>
      <c r="Q363" s="58" t="str">
        <f ca="1">IFERROR(_xlfn.XLOOKUP(tb_investimentos[[#This Row],[DESCRIÇÃO]],tb_acoes[Símbolo do ticker],tb_acoes[Preço]),"")</f>
        <v/>
      </c>
      <c r="R363" s="58" t="str">
        <f ca="1">IFERROR(tb_investimentos[[#This Row],[QUANTIDADE]]*tb_investimentos[[#This Row],[PREÇO MERCADO]],"")</f>
        <v/>
      </c>
      <c r="S363" s="58" t="str">
        <f ca="1">IFERROR(tb_investimentos[[#This Row],[VALOR TOTAL MERCADO]]-tb_investimentos[[#This Row],[VALOR TOTAL PONDERADO]],"")</f>
        <v/>
      </c>
      <c r="T363" s="58" t="str">
        <f ca="1">IFERROR(_xlfn.XLOOKUP(tb_investimentos[[#This Row],[DESCRIÇÃO]],'INFO AÇÕES'!E:E,'INFO AÇÕES'!H:H),"")</f>
        <v/>
      </c>
      <c r="U363" s="59" t="str">
        <f ca="1">IFERROR((tb_investimentos[[#This Row],[VALOR TOTAL MERCADO]]-tb_investimentos[[#This Row],[VALOR TOTAL PONDERADO]])/tb_investimentos[[#This Row],[VALOR TOTAL PONDERADO]],"")</f>
        <v/>
      </c>
    </row>
    <row r="364" spans="2:21" hidden="1" x14ac:dyDescent="0.2">
      <c r="B364" s="13" t="s">
        <v>77</v>
      </c>
      <c r="C364" s="72">
        <v>47253</v>
      </c>
      <c r="D364" s="9" t="s">
        <v>78</v>
      </c>
      <c r="E364" s="11" t="str">
        <f>IF(tb_investimentos[[#This Row],[TIPO MOVIMENTAÇÃO]]="Aporte",_xlfn.XLOOKUP(tb_investimentos[[#This Row],[DESCRIÇÃO]],'INFO AÇÕES'!E:E,'INFO AÇÕES'!I:I),"BRL")</f>
        <v>BRL</v>
      </c>
      <c r="F364" s="75" t="s">
        <v>102</v>
      </c>
      <c r="G364" s="11">
        <v>1</v>
      </c>
      <c r="H364" s="12">
        <v>39.9</v>
      </c>
      <c r="I364" s="13" t="s">
        <v>107</v>
      </c>
      <c r="J364" s="51">
        <f t="shared" si="10"/>
        <v>39.9</v>
      </c>
      <c r="K364" s="13" t="s">
        <v>105</v>
      </c>
      <c r="L364">
        <f>MONTH(tb_investimentos[[#This Row],[DATA]])</f>
        <v>5</v>
      </c>
      <c r="M364">
        <f>YEAR(tb_investimentos[[#This Row],[DATA]])</f>
        <v>2029</v>
      </c>
      <c r="N364">
        <f>DAY(tb_investimentos[[#This Row],[DATA]])</f>
        <v>15</v>
      </c>
      <c r="O364">
        <f t="shared" si="11"/>
        <v>59.90000000000002</v>
      </c>
      <c r="P364">
        <f>tb_investimentos[[#This Row],[PREÇO MÉDIO PONDERADO]]*tb_investimentos[[#This Row],[QUANTIDADE]]</f>
        <v>59.90000000000002</v>
      </c>
      <c r="Q364" s="58" t="str">
        <f ca="1">IFERROR(_xlfn.XLOOKUP(tb_investimentos[[#This Row],[DESCRIÇÃO]],tb_acoes[Símbolo do ticker],tb_acoes[Preço]),"")</f>
        <v/>
      </c>
      <c r="R364" s="58" t="str">
        <f ca="1">IFERROR(tb_investimentos[[#This Row],[QUANTIDADE]]*tb_investimentos[[#This Row],[PREÇO MERCADO]],"")</f>
        <v/>
      </c>
      <c r="S364" s="58" t="str">
        <f ca="1">IFERROR(tb_investimentos[[#This Row],[VALOR TOTAL MERCADO]]-tb_investimentos[[#This Row],[VALOR TOTAL PONDERADO]],"")</f>
        <v/>
      </c>
      <c r="T364" s="58" t="str">
        <f ca="1">IFERROR(_xlfn.XLOOKUP(tb_investimentos[[#This Row],[DESCRIÇÃO]],'INFO AÇÕES'!E:E,'INFO AÇÕES'!H:H),"")</f>
        <v/>
      </c>
      <c r="U364" s="59" t="str">
        <f ca="1">IFERROR((tb_investimentos[[#This Row],[VALOR TOTAL MERCADO]]-tb_investimentos[[#This Row],[VALOR TOTAL PONDERADO]])/tb_investimentos[[#This Row],[VALOR TOTAL PONDERADO]],"")</f>
        <v/>
      </c>
    </row>
    <row r="365" spans="2:21" hidden="1" x14ac:dyDescent="0.2">
      <c r="B365" s="13" t="s">
        <v>77</v>
      </c>
      <c r="C365" s="72">
        <v>47253</v>
      </c>
      <c r="D365" s="9" t="s">
        <v>78</v>
      </c>
      <c r="E365" s="11" t="str">
        <f>IF(tb_investimentos[[#This Row],[TIPO MOVIMENTAÇÃO]]="Aporte",_xlfn.XLOOKUP(tb_investimentos[[#This Row],[DESCRIÇÃO]],'INFO AÇÕES'!E:E,'INFO AÇÕES'!I:I),"BRL")</f>
        <v>BRL</v>
      </c>
      <c r="F365" s="75" t="s">
        <v>101</v>
      </c>
      <c r="G365" s="11">
        <v>1</v>
      </c>
      <c r="H365" s="12">
        <v>79.900000000000006</v>
      </c>
      <c r="I365" s="13" t="s">
        <v>107</v>
      </c>
      <c r="J365" s="51">
        <f t="shared" si="10"/>
        <v>79.900000000000006</v>
      </c>
      <c r="K365" s="13" t="s">
        <v>105</v>
      </c>
      <c r="L365">
        <f>MONTH(tb_investimentos[[#This Row],[DATA]])</f>
        <v>5</v>
      </c>
      <c r="M365">
        <f>YEAR(tb_investimentos[[#This Row],[DATA]])</f>
        <v>2029</v>
      </c>
      <c r="N365">
        <f>DAY(tb_investimentos[[#This Row],[DATA]])</f>
        <v>15</v>
      </c>
      <c r="O365">
        <f t="shared" si="11"/>
        <v>59.90000000000002</v>
      </c>
      <c r="P365">
        <f>tb_investimentos[[#This Row],[PREÇO MÉDIO PONDERADO]]*tb_investimentos[[#This Row],[QUANTIDADE]]</f>
        <v>59.90000000000002</v>
      </c>
      <c r="Q365" s="58" t="str">
        <f ca="1">IFERROR(_xlfn.XLOOKUP(tb_investimentos[[#This Row],[DESCRIÇÃO]],tb_acoes[Símbolo do ticker],tb_acoes[Preço]),"")</f>
        <v/>
      </c>
      <c r="R365" s="58" t="str">
        <f ca="1">IFERROR(tb_investimentos[[#This Row],[QUANTIDADE]]*tb_investimentos[[#This Row],[PREÇO MERCADO]],"")</f>
        <v/>
      </c>
      <c r="S365" s="58" t="str">
        <f ca="1">IFERROR(tb_investimentos[[#This Row],[VALOR TOTAL MERCADO]]-tb_investimentos[[#This Row],[VALOR TOTAL PONDERADO]],"")</f>
        <v/>
      </c>
      <c r="T365" s="58" t="str">
        <f ca="1">IFERROR(_xlfn.XLOOKUP(tb_investimentos[[#This Row],[DESCRIÇÃO]],'INFO AÇÕES'!E:E,'INFO AÇÕES'!H:H),"")</f>
        <v/>
      </c>
      <c r="U365" s="59" t="str">
        <f ca="1">IFERROR((tb_investimentos[[#This Row],[VALOR TOTAL MERCADO]]-tb_investimentos[[#This Row],[VALOR TOTAL PONDERADO]])/tb_investimentos[[#This Row],[VALOR TOTAL PONDERADO]],"")</f>
        <v/>
      </c>
    </row>
    <row r="366" spans="2:21" hidden="1" x14ac:dyDescent="0.2">
      <c r="B366" s="13" t="s">
        <v>77</v>
      </c>
      <c r="C366" s="72">
        <v>47253</v>
      </c>
      <c r="D366" s="9" t="s">
        <v>79</v>
      </c>
      <c r="E366" s="11" t="str">
        <f>IF(tb_investimentos[[#This Row],[TIPO MOVIMENTAÇÃO]]="Aporte",_xlfn.XLOOKUP(tb_investimentos[[#This Row],[DESCRIÇÃO]],'INFO AÇÕES'!E:E,'INFO AÇÕES'!I:I),"BRL")</f>
        <v>BRL</v>
      </c>
      <c r="F366" s="75" t="s">
        <v>100</v>
      </c>
      <c r="G366" s="11">
        <v>1</v>
      </c>
      <c r="H366" s="12">
        <v>110</v>
      </c>
      <c r="I366" s="13" t="s">
        <v>107</v>
      </c>
      <c r="J366" s="51">
        <f t="shared" si="10"/>
        <v>110</v>
      </c>
      <c r="K366" s="13" t="s">
        <v>105</v>
      </c>
      <c r="L366">
        <f>MONTH(tb_investimentos[[#This Row],[DATA]])</f>
        <v>5</v>
      </c>
      <c r="M366">
        <f>YEAR(tb_investimentos[[#This Row],[DATA]])</f>
        <v>2029</v>
      </c>
      <c r="N366">
        <f>DAY(tb_investimentos[[#This Row],[DATA]])</f>
        <v>15</v>
      </c>
      <c r="O366">
        <f t="shared" si="11"/>
        <v>110</v>
      </c>
      <c r="P366">
        <f>tb_investimentos[[#This Row],[PREÇO MÉDIO PONDERADO]]*tb_investimentos[[#This Row],[QUANTIDADE]]</f>
        <v>110</v>
      </c>
      <c r="Q366" s="58" t="str">
        <f ca="1">IFERROR(_xlfn.XLOOKUP(tb_investimentos[[#This Row],[DESCRIÇÃO]],tb_acoes[Símbolo do ticker],tb_acoes[Preço]),"")</f>
        <v/>
      </c>
      <c r="R366" s="58" t="str">
        <f ca="1">IFERROR(tb_investimentos[[#This Row],[QUANTIDADE]]*tb_investimentos[[#This Row],[PREÇO MERCADO]],"")</f>
        <v/>
      </c>
      <c r="S366" s="58" t="str">
        <f ca="1">IFERROR(tb_investimentos[[#This Row],[VALOR TOTAL MERCADO]]-tb_investimentos[[#This Row],[VALOR TOTAL PONDERADO]],"")</f>
        <v/>
      </c>
      <c r="T366" s="58" t="str">
        <f ca="1">IFERROR(_xlfn.XLOOKUP(tb_investimentos[[#This Row],[DESCRIÇÃO]],'INFO AÇÕES'!E:E,'INFO AÇÕES'!H:H),"")</f>
        <v/>
      </c>
      <c r="U366" s="59" t="str">
        <f ca="1">IFERROR((tb_investimentos[[#This Row],[VALOR TOTAL MERCADO]]-tb_investimentos[[#This Row],[VALOR TOTAL PONDERADO]])/tb_investimentos[[#This Row],[VALOR TOTAL PONDERADO]],"")</f>
        <v/>
      </c>
    </row>
    <row r="367" spans="2:21" hidden="1" x14ac:dyDescent="0.2">
      <c r="B367" s="13" t="s">
        <v>77</v>
      </c>
      <c r="C367" s="72">
        <v>47253</v>
      </c>
      <c r="D367" s="9" t="s">
        <v>80</v>
      </c>
      <c r="E367" s="11" t="str">
        <f>IF(tb_investimentos[[#This Row],[TIPO MOVIMENTAÇÃO]]="Aporte",_xlfn.XLOOKUP(tb_investimentos[[#This Row],[DESCRIÇÃO]],'INFO AÇÕES'!E:E,'INFO AÇÕES'!I:I),"BRL")</f>
        <v>BRL</v>
      </c>
      <c r="F367" s="75" t="s">
        <v>99</v>
      </c>
      <c r="G367" s="11">
        <v>1</v>
      </c>
      <c r="H367" s="12">
        <v>25</v>
      </c>
      <c r="I367" s="13" t="s">
        <v>107</v>
      </c>
      <c r="J367" s="51">
        <f t="shared" si="10"/>
        <v>25</v>
      </c>
      <c r="K367" s="13" t="s">
        <v>105</v>
      </c>
      <c r="L367">
        <f>MONTH(tb_investimentos[[#This Row],[DATA]])</f>
        <v>5</v>
      </c>
      <c r="M367">
        <f>YEAR(tb_investimentos[[#This Row],[DATA]])</f>
        <v>2029</v>
      </c>
      <c r="N367">
        <f>DAY(tb_investimentos[[#This Row],[DATA]])</f>
        <v>15</v>
      </c>
      <c r="O367">
        <f t="shared" si="11"/>
        <v>25</v>
      </c>
      <c r="P367">
        <f>tb_investimentos[[#This Row],[PREÇO MÉDIO PONDERADO]]*tb_investimentos[[#This Row],[QUANTIDADE]]</f>
        <v>25</v>
      </c>
      <c r="Q367" s="58" t="str">
        <f ca="1">IFERROR(_xlfn.XLOOKUP(tb_investimentos[[#This Row],[DESCRIÇÃO]],tb_acoes[Símbolo do ticker],tb_acoes[Preço]),"")</f>
        <v/>
      </c>
      <c r="R367" s="58" t="str">
        <f ca="1">IFERROR(tb_investimentos[[#This Row],[QUANTIDADE]]*tb_investimentos[[#This Row],[PREÇO MERCADO]],"")</f>
        <v/>
      </c>
      <c r="S367" s="58" t="str">
        <f ca="1">IFERROR(tb_investimentos[[#This Row],[VALOR TOTAL MERCADO]]-tb_investimentos[[#This Row],[VALOR TOTAL PONDERADO]],"")</f>
        <v/>
      </c>
      <c r="T367" s="58" t="str">
        <f ca="1">IFERROR(_xlfn.XLOOKUP(tb_investimentos[[#This Row],[DESCRIÇÃO]],'INFO AÇÕES'!E:E,'INFO AÇÕES'!H:H),"")</f>
        <v/>
      </c>
      <c r="U367" s="59" t="str">
        <f ca="1">IFERROR((tb_investimentos[[#This Row],[VALOR TOTAL MERCADO]]-tb_investimentos[[#This Row],[VALOR TOTAL PONDERADO]])/tb_investimentos[[#This Row],[VALOR TOTAL PONDERADO]],"")</f>
        <v/>
      </c>
    </row>
    <row r="368" spans="2:21" hidden="1" x14ac:dyDescent="0.2">
      <c r="B368" s="13" t="s">
        <v>72</v>
      </c>
      <c r="C368" s="72">
        <v>47274</v>
      </c>
      <c r="D368" s="9" t="s">
        <v>76</v>
      </c>
      <c r="E368" s="11" t="str">
        <f>IF(tb_investimentos[[#This Row],[TIPO MOVIMENTAÇÃO]]="Aporte",_xlfn.XLOOKUP(tb_investimentos[[#This Row],[DESCRIÇÃO]],'INFO AÇÕES'!E:E,'INFO AÇÕES'!I:I),"BRL")</f>
        <v>BRL</v>
      </c>
      <c r="F368" s="75" t="s">
        <v>73</v>
      </c>
      <c r="G368" s="11">
        <v>1</v>
      </c>
      <c r="H368" s="12">
        <v>8000</v>
      </c>
      <c r="I368" s="13" t="s">
        <v>107</v>
      </c>
      <c r="J368" s="51">
        <f t="shared" si="10"/>
        <v>8000</v>
      </c>
      <c r="K368" s="13" t="s">
        <v>105</v>
      </c>
      <c r="L368">
        <f>MONTH(tb_investimentos[[#This Row],[DATA]])</f>
        <v>6</v>
      </c>
      <c r="M368">
        <f>YEAR(tb_investimentos[[#This Row],[DATA]])</f>
        <v>2029</v>
      </c>
      <c r="N368">
        <f>DAY(tb_investimentos[[#This Row],[DATA]])</f>
        <v>5</v>
      </c>
      <c r="O368">
        <f t="shared" si="11"/>
        <v>7801.7948717948721</v>
      </c>
      <c r="P368">
        <f>tb_investimentos[[#This Row],[PREÇO MÉDIO PONDERADO]]*tb_investimentos[[#This Row],[QUANTIDADE]]</f>
        <v>7801.7948717948721</v>
      </c>
      <c r="Q368" s="58" t="str">
        <f ca="1">IFERROR(_xlfn.XLOOKUP(tb_investimentos[[#This Row],[DESCRIÇÃO]],tb_acoes[Símbolo do ticker],tb_acoes[Preço]),"")</f>
        <v/>
      </c>
      <c r="R368" s="58" t="str">
        <f ca="1">IFERROR(tb_investimentos[[#This Row],[QUANTIDADE]]*tb_investimentos[[#This Row],[PREÇO MERCADO]],"")</f>
        <v/>
      </c>
      <c r="S368" s="58" t="str">
        <f ca="1">IFERROR(tb_investimentos[[#This Row],[VALOR TOTAL MERCADO]]-tb_investimentos[[#This Row],[VALOR TOTAL PONDERADO]],"")</f>
        <v/>
      </c>
      <c r="T368" s="58" t="str">
        <f ca="1">IFERROR(_xlfn.XLOOKUP(tb_investimentos[[#This Row],[DESCRIÇÃO]],'INFO AÇÕES'!E:E,'INFO AÇÕES'!H:H),"")</f>
        <v/>
      </c>
      <c r="U368" s="59" t="str">
        <f ca="1">IFERROR((tb_investimentos[[#This Row],[VALOR TOTAL MERCADO]]-tb_investimentos[[#This Row],[VALOR TOTAL PONDERADO]])/tb_investimentos[[#This Row],[VALOR TOTAL PONDERADO]],"")</f>
        <v/>
      </c>
    </row>
    <row r="369" spans="2:21" hidden="1" x14ac:dyDescent="0.2">
      <c r="B369" s="13" t="s">
        <v>39</v>
      </c>
      <c r="C369" s="10">
        <v>47274</v>
      </c>
      <c r="D369" s="9"/>
      <c r="E369" s="11">
        <f ca="1">IF(tb_investimentos[[#This Row],[TIPO MOVIMENTAÇÃO]]="Aporte",_xlfn.XLOOKUP(tb_investimentos[[#This Row],[DESCRIÇÃO]],'INFO AÇÕES'!E:E,'INFO AÇÕES'!I:I),"BRL")</f>
        <v>0</v>
      </c>
      <c r="F369" s="73" t="s">
        <v>10</v>
      </c>
      <c r="G369" s="11">
        <v>1</v>
      </c>
      <c r="H369" s="12">
        <v>3000</v>
      </c>
      <c r="I369" s="13" t="s">
        <v>58</v>
      </c>
      <c r="J369" s="51">
        <f t="shared" si="10"/>
        <v>3000</v>
      </c>
      <c r="K369" s="11" t="s">
        <v>105</v>
      </c>
      <c r="L369">
        <f>MONTH(tb_investimentos[[#This Row],[DATA]])</f>
        <v>6</v>
      </c>
      <c r="M369">
        <f>YEAR(tb_investimentos[[#This Row],[DATA]])</f>
        <v>2029</v>
      </c>
      <c r="N369">
        <f>DAY(tb_investimentos[[#This Row],[DATA]])</f>
        <v>5</v>
      </c>
      <c r="O369" t="e">
        <f t="shared" si="11"/>
        <v>#DIV/0!</v>
      </c>
      <c r="P369" t="e">
        <f>tb_investimentos[[#This Row],[PREÇO MÉDIO PONDERADO]]*tb_investimentos[[#This Row],[QUANTIDADE]]</f>
        <v>#DIV/0!</v>
      </c>
      <c r="Q369" s="58" t="str">
        <f ca="1">IFERROR(_xlfn.XLOOKUP(tb_investimentos[[#This Row],[DESCRIÇÃO]],tb_acoes[Símbolo do ticker],tb_acoes[Preço]),"")</f>
        <v/>
      </c>
      <c r="R369" s="58" t="str">
        <f ca="1">IFERROR(tb_investimentos[[#This Row],[QUANTIDADE]]*tb_investimentos[[#This Row],[PREÇO MERCADO]],"")</f>
        <v/>
      </c>
      <c r="S369" s="58" t="str">
        <f ca="1">IFERROR(tb_investimentos[[#This Row],[VALOR TOTAL MERCADO]]-tb_investimentos[[#This Row],[VALOR TOTAL PONDERADO]],"")</f>
        <v/>
      </c>
      <c r="T369" s="58" t="str">
        <f ca="1">IFERROR(_xlfn.XLOOKUP(tb_investimentos[[#This Row],[DESCRIÇÃO]],'INFO AÇÕES'!E:E,'INFO AÇÕES'!H:H),"")</f>
        <v/>
      </c>
      <c r="U369" s="59" t="str">
        <f ca="1">IFERROR((tb_investimentos[[#This Row],[VALOR TOTAL MERCADO]]-tb_investimentos[[#This Row],[VALOR TOTAL PONDERADO]])/tb_investimentos[[#This Row],[VALOR TOTAL PONDERADO]],"")</f>
        <v/>
      </c>
    </row>
    <row r="370" spans="2:21" hidden="1" x14ac:dyDescent="0.2">
      <c r="B370" s="13" t="s">
        <v>77</v>
      </c>
      <c r="C370" s="10">
        <v>47284</v>
      </c>
      <c r="D370" s="9" t="s">
        <v>88</v>
      </c>
      <c r="E370" s="11" t="str">
        <f>IF(tb_investimentos[[#This Row],[TIPO MOVIMENTAÇÃO]]="Aporte",_xlfn.XLOOKUP(tb_investimentos[[#This Row],[DESCRIÇÃO]],'INFO AÇÕES'!E:E,'INFO AÇÕES'!I:I),"BRL")</f>
        <v>BRL</v>
      </c>
      <c r="F370" s="75" t="s">
        <v>131</v>
      </c>
      <c r="G370" s="11">
        <v>1</v>
      </c>
      <c r="H370" s="12">
        <v>2192.1908599999997</v>
      </c>
      <c r="I370" s="13" t="s">
        <v>107</v>
      </c>
      <c r="J370" s="51">
        <f t="shared" si="10"/>
        <v>2192.1908599999997</v>
      </c>
      <c r="K370" s="13" t="s">
        <v>105</v>
      </c>
      <c r="L370">
        <f>MONTH(tb_investimentos[[#This Row],[DATA]])</f>
        <v>6</v>
      </c>
      <c r="M370">
        <f>YEAR(tb_investimentos[[#This Row],[DATA]])</f>
        <v>2029</v>
      </c>
      <c r="N370">
        <f>DAY(tb_investimentos[[#This Row],[DATA]])</f>
        <v>15</v>
      </c>
      <c r="O370">
        <f t="shared" si="11"/>
        <v>1629.9930261538464</v>
      </c>
      <c r="P370">
        <f>tb_investimentos[[#This Row],[PREÇO MÉDIO PONDERADO]]*tb_investimentos[[#This Row],[QUANTIDADE]]</f>
        <v>1629.9930261538464</v>
      </c>
      <c r="Q370" s="58" t="str">
        <f ca="1">IFERROR(_xlfn.XLOOKUP(tb_investimentos[[#This Row],[DESCRIÇÃO]],tb_acoes[Símbolo do ticker],tb_acoes[Preço]),"")</f>
        <v/>
      </c>
      <c r="R370" s="58" t="str">
        <f ca="1">IFERROR(tb_investimentos[[#This Row],[QUANTIDADE]]*tb_investimentos[[#This Row],[PREÇO MERCADO]],"")</f>
        <v/>
      </c>
      <c r="S370" s="58" t="str">
        <f ca="1">IFERROR(tb_investimentos[[#This Row],[VALOR TOTAL MERCADO]]-tb_investimentos[[#This Row],[VALOR TOTAL PONDERADO]],"")</f>
        <v/>
      </c>
      <c r="T370" s="58" t="str">
        <f ca="1">IFERROR(_xlfn.XLOOKUP(tb_investimentos[[#This Row],[DESCRIÇÃO]],'INFO AÇÕES'!E:E,'INFO AÇÕES'!H:H),"")</f>
        <v/>
      </c>
      <c r="U370" s="59" t="str">
        <f ca="1">IFERROR((tb_investimentos[[#This Row],[VALOR TOTAL MERCADO]]-tb_investimentos[[#This Row],[VALOR TOTAL PONDERADO]])/tb_investimentos[[#This Row],[VALOR TOTAL PONDERADO]],"")</f>
        <v/>
      </c>
    </row>
    <row r="371" spans="2:21" hidden="1" x14ac:dyDescent="0.2">
      <c r="B371" s="13" t="s">
        <v>77</v>
      </c>
      <c r="C371" s="10">
        <v>47284</v>
      </c>
      <c r="D371" s="9" t="s">
        <v>130</v>
      </c>
      <c r="E371" s="11" t="str">
        <f>IF(tb_investimentos[[#This Row],[TIPO MOVIMENTAÇÃO]]="Aporte",_xlfn.XLOOKUP(tb_investimentos[[#This Row],[DESCRIÇÃO]],'INFO AÇÕES'!E:E,'INFO AÇÕES'!I:I),"BRL")</f>
        <v>BRL</v>
      </c>
      <c r="F371" s="75" t="s">
        <v>83</v>
      </c>
      <c r="G371" s="11">
        <v>1</v>
      </c>
      <c r="H371" s="12">
        <v>400</v>
      </c>
      <c r="I371" s="13" t="s">
        <v>107</v>
      </c>
      <c r="J371" s="51">
        <f t="shared" si="10"/>
        <v>400</v>
      </c>
      <c r="K371" s="13" t="s">
        <v>105</v>
      </c>
      <c r="L371">
        <f>MONTH(tb_investimentos[[#This Row],[DATA]])</f>
        <v>6</v>
      </c>
      <c r="M371">
        <f>YEAR(tb_investimentos[[#This Row],[DATA]])</f>
        <v>2029</v>
      </c>
      <c r="N371">
        <f>DAY(tb_investimentos[[#This Row],[DATA]])</f>
        <v>15</v>
      </c>
      <c r="O371">
        <f t="shared" si="11"/>
        <v>400</v>
      </c>
      <c r="P371">
        <f>tb_investimentos[[#This Row],[PREÇO MÉDIO PONDERADO]]*tb_investimentos[[#This Row],[QUANTIDADE]]</f>
        <v>400</v>
      </c>
      <c r="Q371" s="58" t="str">
        <f ca="1">IFERROR(_xlfn.XLOOKUP(tb_investimentos[[#This Row],[DESCRIÇÃO]],tb_acoes[Símbolo do ticker],tb_acoes[Preço]),"")</f>
        <v/>
      </c>
      <c r="R371" s="58" t="str">
        <f ca="1">IFERROR(tb_investimentos[[#This Row],[QUANTIDADE]]*tb_investimentos[[#This Row],[PREÇO MERCADO]],"")</f>
        <v/>
      </c>
      <c r="S371" s="58" t="str">
        <f ca="1">IFERROR(tb_investimentos[[#This Row],[VALOR TOTAL MERCADO]]-tb_investimentos[[#This Row],[VALOR TOTAL PONDERADO]],"")</f>
        <v/>
      </c>
      <c r="T371" s="58" t="str">
        <f ca="1">IFERROR(_xlfn.XLOOKUP(tb_investimentos[[#This Row],[DESCRIÇÃO]],'INFO AÇÕES'!E:E,'INFO AÇÕES'!H:H),"")</f>
        <v/>
      </c>
      <c r="U371" s="59" t="str">
        <f ca="1">IFERROR((tb_investimentos[[#This Row],[VALOR TOTAL MERCADO]]-tb_investimentos[[#This Row],[VALOR TOTAL PONDERADO]])/tb_investimentos[[#This Row],[VALOR TOTAL PONDERADO]],"")</f>
        <v/>
      </c>
    </row>
    <row r="372" spans="2:21" hidden="1" x14ac:dyDescent="0.2">
      <c r="B372" s="13" t="s">
        <v>77</v>
      </c>
      <c r="C372" s="72">
        <v>47284</v>
      </c>
      <c r="D372" s="9" t="s">
        <v>78</v>
      </c>
      <c r="E372" s="11" t="str">
        <f>IF(tb_investimentos[[#This Row],[TIPO MOVIMENTAÇÃO]]="Aporte",_xlfn.XLOOKUP(tb_investimentos[[#This Row],[DESCRIÇÃO]],'INFO AÇÕES'!E:E,'INFO AÇÕES'!I:I),"BRL")</f>
        <v>BRL</v>
      </c>
      <c r="F372" s="75" t="s">
        <v>102</v>
      </c>
      <c r="G372" s="11">
        <v>1</v>
      </c>
      <c r="H372" s="12">
        <v>39.9</v>
      </c>
      <c r="I372" s="13" t="s">
        <v>107</v>
      </c>
      <c r="J372" s="51">
        <f t="shared" si="10"/>
        <v>39.9</v>
      </c>
      <c r="K372" s="13" t="s">
        <v>105</v>
      </c>
      <c r="L372">
        <f>MONTH(tb_investimentos[[#This Row],[DATA]])</f>
        <v>6</v>
      </c>
      <c r="M372">
        <f>YEAR(tb_investimentos[[#This Row],[DATA]])</f>
        <v>2029</v>
      </c>
      <c r="N372">
        <f>DAY(tb_investimentos[[#This Row],[DATA]])</f>
        <v>15</v>
      </c>
      <c r="O372">
        <f t="shared" si="11"/>
        <v>59.90000000000002</v>
      </c>
      <c r="P372">
        <f>tb_investimentos[[#This Row],[PREÇO MÉDIO PONDERADO]]*tb_investimentos[[#This Row],[QUANTIDADE]]</f>
        <v>59.90000000000002</v>
      </c>
      <c r="Q372" s="58" t="str">
        <f ca="1">IFERROR(_xlfn.XLOOKUP(tb_investimentos[[#This Row],[DESCRIÇÃO]],tb_acoes[Símbolo do ticker],tb_acoes[Preço]),"")</f>
        <v/>
      </c>
      <c r="R372" s="58" t="str">
        <f ca="1">IFERROR(tb_investimentos[[#This Row],[QUANTIDADE]]*tb_investimentos[[#This Row],[PREÇO MERCADO]],"")</f>
        <v/>
      </c>
      <c r="S372" s="58" t="str">
        <f ca="1">IFERROR(tb_investimentos[[#This Row],[VALOR TOTAL MERCADO]]-tb_investimentos[[#This Row],[VALOR TOTAL PONDERADO]],"")</f>
        <v/>
      </c>
      <c r="T372" s="58" t="str">
        <f ca="1">IFERROR(_xlfn.XLOOKUP(tb_investimentos[[#This Row],[DESCRIÇÃO]],'INFO AÇÕES'!E:E,'INFO AÇÕES'!H:H),"")</f>
        <v/>
      </c>
      <c r="U372" s="59" t="str">
        <f ca="1">IFERROR((tb_investimentos[[#This Row],[VALOR TOTAL MERCADO]]-tb_investimentos[[#This Row],[VALOR TOTAL PONDERADO]])/tb_investimentos[[#This Row],[VALOR TOTAL PONDERADO]],"")</f>
        <v/>
      </c>
    </row>
    <row r="373" spans="2:21" hidden="1" x14ac:dyDescent="0.2">
      <c r="B373" s="13" t="s">
        <v>77</v>
      </c>
      <c r="C373" s="72">
        <v>47284</v>
      </c>
      <c r="D373" s="9" t="s">
        <v>78</v>
      </c>
      <c r="E373" s="11" t="str">
        <f>IF(tb_investimentos[[#This Row],[TIPO MOVIMENTAÇÃO]]="Aporte",_xlfn.XLOOKUP(tb_investimentos[[#This Row],[DESCRIÇÃO]],'INFO AÇÕES'!E:E,'INFO AÇÕES'!I:I),"BRL")</f>
        <v>BRL</v>
      </c>
      <c r="F373" s="75" t="s">
        <v>101</v>
      </c>
      <c r="G373" s="11">
        <v>1</v>
      </c>
      <c r="H373" s="12">
        <v>79.900000000000006</v>
      </c>
      <c r="I373" s="13" t="s">
        <v>107</v>
      </c>
      <c r="J373" s="51">
        <f t="shared" si="10"/>
        <v>79.900000000000006</v>
      </c>
      <c r="K373" s="13" t="s">
        <v>105</v>
      </c>
      <c r="L373">
        <f>MONTH(tb_investimentos[[#This Row],[DATA]])</f>
        <v>6</v>
      </c>
      <c r="M373">
        <f>YEAR(tb_investimentos[[#This Row],[DATA]])</f>
        <v>2029</v>
      </c>
      <c r="N373">
        <f>DAY(tb_investimentos[[#This Row],[DATA]])</f>
        <v>15</v>
      </c>
      <c r="O373">
        <f t="shared" si="11"/>
        <v>59.90000000000002</v>
      </c>
      <c r="P373">
        <f>tb_investimentos[[#This Row],[PREÇO MÉDIO PONDERADO]]*tb_investimentos[[#This Row],[QUANTIDADE]]</f>
        <v>59.90000000000002</v>
      </c>
      <c r="Q373" s="58" t="str">
        <f ca="1">IFERROR(_xlfn.XLOOKUP(tb_investimentos[[#This Row],[DESCRIÇÃO]],tb_acoes[Símbolo do ticker],tb_acoes[Preço]),"")</f>
        <v/>
      </c>
      <c r="R373" s="58" t="str">
        <f ca="1">IFERROR(tb_investimentos[[#This Row],[QUANTIDADE]]*tb_investimentos[[#This Row],[PREÇO MERCADO]],"")</f>
        <v/>
      </c>
      <c r="S373" s="58" t="str">
        <f ca="1">IFERROR(tb_investimentos[[#This Row],[VALOR TOTAL MERCADO]]-tb_investimentos[[#This Row],[VALOR TOTAL PONDERADO]],"")</f>
        <v/>
      </c>
      <c r="T373" s="58" t="str">
        <f ca="1">IFERROR(_xlfn.XLOOKUP(tb_investimentos[[#This Row],[DESCRIÇÃO]],'INFO AÇÕES'!E:E,'INFO AÇÕES'!H:H),"")</f>
        <v/>
      </c>
      <c r="U373" s="59" t="str">
        <f ca="1">IFERROR((tb_investimentos[[#This Row],[VALOR TOTAL MERCADO]]-tb_investimentos[[#This Row],[VALOR TOTAL PONDERADO]])/tb_investimentos[[#This Row],[VALOR TOTAL PONDERADO]],"")</f>
        <v/>
      </c>
    </row>
    <row r="374" spans="2:21" hidden="1" x14ac:dyDescent="0.2">
      <c r="B374" s="13" t="s">
        <v>77</v>
      </c>
      <c r="C374" s="72">
        <v>47284</v>
      </c>
      <c r="D374" s="9" t="s">
        <v>79</v>
      </c>
      <c r="E374" s="11" t="str">
        <f>IF(tb_investimentos[[#This Row],[TIPO MOVIMENTAÇÃO]]="Aporte",_xlfn.XLOOKUP(tb_investimentos[[#This Row],[DESCRIÇÃO]],'INFO AÇÕES'!E:E,'INFO AÇÕES'!I:I),"BRL")</f>
        <v>BRL</v>
      </c>
      <c r="F374" s="75" t="s">
        <v>100</v>
      </c>
      <c r="G374" s="11">
        <v>1</v>
      </c>
      <c r="H374" s="12">
        <v>110</v>
      </c>
      <c r="I374" s="13" t="s">
        <v>107</v>
      </c>
      <c r="J374" s="51">
        <f t="shared" si="10"/>
        <v>110</v>
      </c>
      <c r="K374" s="13" t="s">
        <v>105</v>
      </c>
      <c r="L374">
        <f>MONTH(tb_investimentos[[#This Row],[DATA]])</f>
        <v>6</v>
      </c>
      <c r="M374">
        <f>YEAR(tb_investimentos[[#This Row],[DATA]])</f>
        <v>2029</v>
      </c>
      <c r="N374">
        <f>DAY(tb_investimentos[[#This Row],[DATA]])</f>
        <v>15</v>
      </c>
      <c r="O374">
        <f t="shared" si="11"/>
        <v>110</v>
      </c>
      <c r="P374">
        <f>tb_investimentos[[#This Row],[PREÇO MÉDIO PONDERADO]]*tb_investimentos[[#This Row],[QUANTIDADE]]</f>
        <v>110</v>
      </c>
      <c r="Q374" s="58" t="str">
        <f ca="1">IFERROR(_xlfn.XLOOKUP(tb_investimentos[[#This Row],[DESCRIÇÃO]],tb_acoes[Símbolo do ticker],tb_acoes[Preço]),"")</f>
        <v/>
      </c>
      <c r="R374" s="58" t="str">
        <f ca="1">IFERROR(tb_investimentos[[#This Row],[QUANTIDADE]]*tb_investimentos[[#This Row],[PREÇO MERCADO]],"")</f>
        <v/>
      </c>
      <c r="S374" s="58" t="str">
        <f ca="1">IFERROR(tb_investimentos[[#This Row],[VALOR TOTAL MERCADO]]-tb_investimentos[[#This Row],[VALOR TOTAL PONDERADO]],"")</f>
        <v/>
      </c>
      <c r="T374" s="58" t="str">
        <f ca="1">IFERROR(_xlfn.XLOOKUP(tb_investimentos[[#This Row],[DESCRIÇÃO]],'INFO AÇÕES'!E:E,'INFO AÇÕES'!H:H),"")</f>
        <v/>
      </c>
      <c r="U374" s="59" t="str">
        <f ca="1">IFERROR((tb_investimentos[[#This Row],[VALOR TOTAL MERCADO]]-tb_investimentos[[#This Row],[VALOR TOTAL PONDERADO]])/tb_investimentos[[#This Row],[VALOR TOTAL PONDERADO]],"")</f>
        <v/>
      </c>
    </row>
    <row r="375" spans="2:21" hidden="1" x14ac:dyDescent="0.2">
      <c r="B375" s="13" t="s">
        <v>77</v>
      </c>
      <c r="C375" s="72">
        <v>47284</v>
      </c>
      <c r="D375" s="9" t="s">
        <v>80</v>
      </c>
      <c r="E375" s="11" t="str">
        <f>IF(tb_investimentos[[#This Row],[TIPO MOVIMENTAÇÃO]]="Aporte",_xlfn.XLOOKUP(tb_investimentos[[#This Row],[DESCRIÇÃO]],'INFO AÇÕES'!E:E,'INFO AÇÕES'!I:I),"BRL")</f>
        <v>BRL</v>
      </c>
      <c r="F375" s="75" t="s">
        <v>99</v>
      </c>
      <c r="G375" s="11">
        <v>1</v>
      </c>
      <c r="H375" s="12">
        <v>25</v>
      </c>
      <c r="I375" s="13" t="s">
        <v>107</v>
      </c>
      <c r="J375" s="51">
        <f t="shared" si="10"/>
        <v>25</v>
      </c>
      <c r="K375" s="13" t="s">
        <v>105</v>
      </c>
      <c r="L375">
        <f>MONTH(tb_investimentos[[#This Row],[DATA]])</f>
        <v>6</v>
      </c>
      <c r="M375">
        <f>YEAR(tb_investimentos[[#This Row],[DATA]])</f>
        <v>2029</v>
      </c>
      <c r="N375">
        <f>DAY(tb_investimentos[[#This Row],[DATA]])</f>
        <v>15</v>
      </c>
      <c r="O375">
        <f t="shared" si="11"/>
        <v>25</v>
      </c>
      <c r="P375">
        <f>tb_investimentos[[#This Row],[PREÇO MÉDIO PONDERADO]]*tb_investimentos[[#This Row],[QUANTIDADE]]</f>
        <v>25</v>
      </c>
      <c r="Q375" s="58" t="str">
        <f ca="1">IFERROR(_xlfn.XLOOKUP(tb_investimentos[[#This Row],[DESCRIÇÃO]],tb_acoes[Símbolo do ticker],tb_acoes[Preço]),"")</f>
        <v/>
      </c>
      <c r="R375" s="58" t="str">
        <f ca="1">IFERROR(tb_investimentos[[#This Row],[QUANTIDADE]]*tb_investimentos[[#This Row],[PREÇO MERCADO]],"")</f>
        <v/>
      </c>
      <c r="S375" s="58" t="str">
        <f ca="1">IFERROR(tb_investimentos[[#This Row],[VALOR TOTAL MERCADO]]-tb_investimentos[[#This Row],[VALOR TOTAL PONDERADO]],"")</f>
        <v/>
      </c>
      <c r="T375" s="58" t="str">
        <f ca="1">IFERROR(_xlfn.XLOOKUP(tb_investimentos[[#This Row],[DESCRIÇÃO]],'INFO AÇÕES'!E:E,'INFO AÇÕES'!H:H),"")</f>
        <v/>
      </c>
      <c r="U375" s="59" t="str">
        <f ca="1">IFERROR((tb_investimentos[[#This Row],[VALOR TOTAL MERCADO]]-tb_investimentos[[#This Row],[VALOR TOTAL PONDERADO]])/tb_investimentos[[#This Row],[VALOR TOTAL PONDERADO]],"")</f>
        <v/>
      </c>
    </row>
    <row r="376" spans="2:21" hidden="1" x14ac:dyDescent="0.2">
      <c r="B376" s="13" t="s">
        <v>72</v>
      </c>
      <c r="C376" s="72">
        <v>47304</v>
      </c>
      <c r="D376" s="9" t="s">
        <v>76</v>
      </c>
      <c r="E376" s="11" t="str">
        <f>IF(tb_investimentos[[#This Row],[TIPO MOVIMENTAÇÃO]]="Aporte",_xlfn.XLOOKUP(tb_investimentos[[#This Row],[DESCRIÇÃO]],'INFO AÇÕES'!E:E,'INFO AÇÕES'!I:I),"BRL")</f>
        <v>BRL</v>
      </c>
      <c r="F376" s="75" t="s">
        <v>73</v>
      </c>
      <c r="G376" s="11">
        <v>1</v>
      </c>
      <c r="H376" s="12">
        <v>8000</v>
      </c>
      <c r="I376" s="13" t="s">
        <v>107</v>
      </c>
      <c r="J376" s="51">
        <f t="shared" si="10"/>
        <v>8000</v>
      </c>
      <c r="K376" s="13" t="s">
        <v>105</v>
      </c>
      <c r="L376">
        <f>MONTH(tb_investimentos[[#This Row],[DATA]])</f>
        <v>7</v>
      </c>
      <c r="M376">
        <f>YEAR(tb_investimentos[[#This Row],[DATA]])</f>
        <v>2029</v>
      </c>
      <c r="N376">
        <f>DAY(tb_investimentos[[#This Row],[DATA]])</f>
        <v>5</v>
      </c>
      <c r="O376">
        <f t="shared" si="11"/>
        <v>7801.7948717948721</v>
      </c>
      <c r="P376">
        <f>tb_investimentos[[#This Row],[PREÇO MÉDIO PONDERADO]]*tb_investimentos[[#This Row],[QUANTIDADE]]</f>
        <v>7801.7948717948721</v>
      </c>
      <c r="Q376" s="58" t="str">
        <f ca="1">IFERROR(_xlfn.XLOOKUP(tb_investimentos[[#This Row],[DESCRIÇÃO]],tb_acoes[Símbolo do ticker],tb_acoes[Preço]),"")</f>
        <v/>
      </c>
      <c r="R376" s="58" t="str">
        <f ca="1">IFERROR(tb_investimentos[[#This Row],[QUANTIDADE]]*tb_investimentos[[#This Row],[PREÇO MERCADO]],"")</f>
        <v/>
      </c>
      <c r="S376" s="58" t="str">
        <f ca="1">IFERROR(tb_investimentos[[#This Row],[VALOR TOTAL MERCADO]]-tb_investimentos[[#This Row],[VALOR TOTAL PONDERADO]],"")</f>
        <v/>
      </c>
      <c r="T376" s="58" t="str">
        <f ca="1">IFERROR(_xlfn.XLOOKUP(tb_investimentos[[#This Row],[DESCRIÇÃO]],'INFO AÇÕES'!E:E,'INFO AÇÕES'!H:H),"")</f>
        <v/>
      </c>
      <c r="U376" s="59" t="str">
        <f ca="1">IFERROR((tb_investimentos[[#This Row],[VALOR TOTAL MERCADO]]-tb_investimentos[[#This Row],[VALOR TOTAL PONDERADO]])/tb_investimentos[[#This Row],[VALOR TOTAL PONDERADO]],"")</f>
        <v/>
      </c>
    </row>
    <row r="377" spans="2:21" hidden="1" x14ac:dyDescent="0.2">
      <c r="B377" s="13" t="s">
        <v>39</v>
      </c>
      <c r="C377" s="10">
        <v>47304</v>
      </c>
      <c r="D377" s="9"/>
      <c r="E377" s="11">
        <f ca="1">IF(tb_investimentos[[#This Row],[TIPO MOVIMENTAÇÃO]]="Aporte",_xlfn.XLOOKUP(tb_investimentos[[#This Row],[DESCRIÇÃO]],'INFO AÇÕES'!E:E,'INFO AÇÕES'!I:I),"BRL")</f>
        <v>0</v>
      </c>
      <c r="F377" s="73" t="s">
        <v>10</v>
      </c>
      <c r="G377" s="11">
        <v>1</v>
      </c>
      <c r="H377" s="12">
        <v>3000</v>
      </c>
      <c r="I377" s="13" t="s">
        <v>58</v>
      </c>
      <c r="J377" s="51">
        <f t="shared" si="10"/>
        <v>3000</v>
      </c>
      <c r="K377" s="11" t="s">
        <v>105</v>
      </c>
      <c r="L377">
        <f>MONTH(tb_investimentos[[#This Row],[DATA]])</f>
        <v>7</v>
      </c>
      <c r="M377">
        <f>YEAR(tb_investimentos[[#This Row],[DATA]])</f>
        <v>2029</v>
      </c>
      <c r="N377">
        <f>DAY(tb_investimentos[[#This Row],[DATA]])</f>
        <v>5</v>
      </c>
      <c r="O377" t="e">
        <f t="shared" si="11"/>
        <v>#DIV/0!</v>
      </c>
      <c r="P377" t="e">
        <f>tb_investimentos[[#This Row],[PREÇO MÉDIO PONDERADO]]*tb_investimentos[[#This Row],[QUANTIDADE]]</f>
        <v>#DIV/0!</v>
      </c>
      <c r="Q377" s="58" t="str">
        <f ca="1">IFERROR(_xlfn.XLOOKUP(tb_investimentos[[#This Row],[DESCRIÇÃO]],tb_acoes[Símbolo do ticker],tb_acoes[Preço]),"")</f>
        <v/>
      </c>
      <c r="R377" s="58" t="str">
        <f ca="1">IFERROR(tb_investimentos[[#This Row],[QUANTIDADE]]*tb_investimentos[[#This Row],[PREÇO MERCADO]],"")</f>
        <v/>
      </c>
      <c r="S377" s="58" t="str">
        <f ca="1">IFERROR(tb_investimentos[[#This Row],[VALOR TOTAL MERCADO]]-tb_investimentos[[#This Row],[VALOR TOTAL PONDERADO]],"")</f>
        <v/>
      </c>
      <c r="T377" s="58" t="str">
        <f ca="1">IFERROR(_xlfn.XLOOKUP(tb_investimentos[[#This Row],[DESCRIÇÃO]],'INFO AÇÕES'!E:E,'INFO AÇÕES'!H:H),"")</f>
        <v/>
      </c>
      <c r="U377" s="59" t="str">
        <f ca="1">IFERROR((tb_investimentos[[#This Row],[VALOR TOTAL MERCADO]]-tb_investimentos[[#This Row],[VALOR TOTAL PONDERADO]])/tb_investimentos[[#This Row],[VALOR TOTAL PONDERADO]],"")</f>
        <v/>
      </c>
    </row>
    <row r="378" spans="2:21" hidden="1" x14ac:dyDescent="0.2">
      <c r="B378" s="13" t="s">
        <v>77</v>
      </c>
      <c r="C378" s="10">
        <v>47314</v>
      </c>
      <c r="D378" s="9" t="s">
        <v>88</v>
      </c>
      <c r="E378" s="11" t="str">
        <f>IF(tb_investimentos[[#This Row],[TIPO MOVIMENTAÇÃO]]="Aporte",_xlfn.XLOOKUP(tb_investimentos[[#This Row],[DESCRIÇÃO]],'INFO AÇÕES'!E:E,'INFO AÇÕES'!I:I),"BRL")</f>
        <v>BRL</v>
      </c>
      <c r="F378" s="75" t="s">
        <v>131</v>
      </c>
      <c r="G378" s="11">
        <v>1</v>
      </c>
      <c r="H378" s="12">
        <v>2192.1804400000001</v>
      </c>
      <c r="I378" s="13" t="s">
        <v>107</v>
      </c>
      <c r="J378" s="51">
        <f t="shared" si="10"/>
        <v>2192.1804400000001</v>
      </c>
      <c r="K378" s="13" t="s">
        <v>105</v>
      </c>
      <c r="L378">
        <f>MONTH(tb_investimentos[[#This Row],[DATA]])</f>
        <v>7</v>
      </c>
      <c r="M378">
        <f>YEAR(tb_investimentos[[#This Row],[DATA]])</f>
        <v>2029</v>
      </c>
      <c r="N378">
        <f>DAY(tb_investimentos[[#This Row],[DATA]])</f>
        <v>15</v>
      </c>
      <c r="O378">
        <f t="shared" si="11"/>
        <v>1629.9930261538464</v>
      </c>
      <c r="P378">
        <f>tb_investimentos[[#This Row],[PREÇO MÉDIO PONDERADO]]*tb_investimentos[[#This Row],[QUANTIDADE]]</f>
        <v>1629.9930261538464</v>
      </c>
      <c r="Q378" s="58" t="str">
        <f ca="1">IFERROR(_xlfn.XLOOKUP(tb_investimentos[[#This Row],[DESCRIÇÃO]],tb_acoes[Símbolo do ticker],tb_acoes[Preço]),"")</f>
        <v/>
      </c>
      <c r="R378" s="58" t="str">
        <f ca="1">IFERROR(tb_investimentos[[#This Row],[QUANTIDADE]]*tb_investimentos[[#This Row],[PREÇO MERCADO]],"")</f>
        <v/>
      </c>
      <c r="S378" s="58" t="str">
        <f ca="1">IFERROR(tb_investimentos[[#This Row],[VALOR TOTAL MERCADO]]-tb_investimentos[[#This Row],[VALOR TOTAL PONDERADO]],"")</f>
        <v/>
      </c>
      <c r="T378" s="58" t="str">
        <f ca="1">IFERROR(_xlfn.XLOOKUP(tb_investimentos[[#This Row],[DESCRIÇÃO]],'INFO AÇÕES'!E:E,'INFO AÇÕES'!H:H),"")</f>
        <v/>
      </c>
      <c r="U378" s="59" t="str">
        <f ca="1">IFERROR((tb_investimentos[[#This Row],[VALOR TOTAL MERCADO]]-tb_investimentos[[#This Row],[VALOR TOTAL PONDERADO]])/tb_investimentos[[#This Row],[VALOR TOTAL PONDERADO]],"")</f>
        <v/>
      </c>
    </row>
    <row r="379" spans="2:21" hidden="1" x14ac:dyDescent="0.2">
      <c r="B379" s="13" t="s">
        <v>77</v>
      </c>
      <c r="C379" s="10">
        <v>47314</v>
      </c>
      <c r="D379" s="9" t="s">
        <v>130</v>
      </c>
      <c r="E379" s="11" t="str">
        <f>IF(tb_investimentos[[#This Row],[TIPO MOVIMENTAÇÃO]]="Aporte",_xlfn.XLOOKUP(tb_investimentos[[#This Row],[DESCRIÇÃO]],'INFO AÇÕES'!E:E,'INFO AÇÕES'!I:I),"BRL")</f>
        <v>BRL</v>
      </c>
      <c r="F379" s="75" t="s">
        <v>83</v>
      </c>
      <c r="G379" s="11">
        <v>1</v>
      </c>
      <c r="H379" s="12">
        <v>400</v>
      </c>
      <c r="I379" s="13" t="s">
        <v>107</v>
      </c>
      <c r="J379" s="51">
        <f t="shared" si="10"/>
        <v>400</v>
      </c>
      <c r="K379" s="13" t="s">
        <v>105</v>
      </c>
      <c r="L379">
        <f>MONTH(tb_investimentos[[#This Row],[DATA]])</f>
        <v>7</v>
      </c>
      <c r="M379">
        <f>YEAR(tb_investimentos[[#This Row],[DATA]])</f>
        <v>2029</v>
      </c>
      <c r="N379">
        <f>DAY(tb_investimentos[[#This Row],[DATA]])</f>
        <v>15</v>
      </c>
      <c r="O379">
        <f t="shared" si="11"/>
        <v>400</v>
      </c>
      <c r="P379">
        <f>tb_investimentos[[#This Row],[PREÇO MÉDIO PONDERADO]]*tb_investimentos[[#This Row],[QUANTIDADE]]</f>
        <v>400</v>
      </c>
      <c r="Q379" s="58" t="str">
        <f ca="1">IFERROR(_xlfn.XLOOKUP(tb_investimentos[[#This Row],[DESCRIÇÃO]],tb_acoes[Símbolo do ticker],tb_acoes[Preço]),"")</f>
        <v/>
      </c>
      <c r="R379" s="58" t="str">
        <f ca="1">IFERROR(tb_investimentos[[#This Row],[QUANTIDADE]]*tb_investimentos[[#This Row],[PREÇO MERCADO]],"")</f>
        <v/>
      </c>
      <c r="S379" s="58" t="str">
        <f ca="1">IFERROR(tb_investimentos[[#This Row],[VALOR TOTAL MERCADO]]-tb_investimentos[[#This Row],[VALOR TOTAL PONDERADO]],"")</f>
        <v/>
      </c>
      <c r="T379" s="58" t="str">
        <f ca="1">IFERROR(_xlfn.XLOOKUP(tb_investimentos[[#This Row],[DESCRIÇÃO]],'INFO AÇÕES'!E:E,'INFO AÇÕES'!H:H),"")</f>
        <v/>
      </c>
      <c r="U379" s="59" t="str">
        <f ca="1">IFERROR((tb_investimentos[[#This Row],[VALOR TOTAL MERCADO]]-tb_investimentos[[#This Row],[VALOR TOTAL PONDERADO]])/tb_investimentos[[#This Row],[VALOR TOTAL PONDERADO]],"")</f>
        <v/>
      </c>
    </row>
    <row r="380" spans="2:21" hidden="1" x14ac:dyDescent="0.2">
      <c r="B380" s="13" t="s">
        <v>77</v>
      </c>
      <c r="C380" s="72">
        <v>47314</v>
      </c>
      <c r="D380" s="9" t="s">
        <v>78</v>
      </c>
      <c r="E380" s="11" t="str">
        <f>IF(tb_investimentos[[#This Row],[TIPO MOVIMENTAÇÃO]]="Aporte",_xlfn.XLOOKUP(tb_investimentos[[#This Row],[DESCRIÇÃO]],'INFO AÇÕES'!E:E,'INFO AÇÕES'!I:I),"BRL")</f>
        <v>BRL</v>
      </c>
      <c r="F380" s="75" t="s">
        <v>102</v>
      </c>
      <c r="G380" s="11">
        <v>1</v>
      </c>
      <c r="H380" s="12">
        <v>39.9</v>
      </c>
      <c r="I380" s="13" t="s">
        <v>107</v>
      </c>
      <c r="J380" s="51">
        <f t="shared" si="10"/>
        <v>39.9</v>
      </c>
      <c r="K380" s="13" t="s">
        <v>105</v>
      </c>
      <c r="L380">
        <f>MONTH(tb_investimentos[[#This Row],[DATA]])</f>
        <v>7</v>
      </c>
      <c r="M380">
        <f>YEAR(tb_investimentos[[#This Row],[DATA]])</f>
        <v>2029</v>
      </c>
      <c r="N380">
        <f>DAY(tb_investimentos[[#This Row],[DATA]])</f>
        <v>15</v>
      </c>
      <c r="O380">
        <f t="shared" si="11"/>
        <v>59.90000000000002</v>
      </c>
      <c r="P380">
        <f>tb_investimentos[[#This Row],[PREÇO MÉDIO PONDERADO]]*tb_investimentos[[#This Row],[QUANTIDADE]]</f>
        <v>59.90000000000002</v>
      </c>
      <c r="Q380" s="58" t="str">
        <f ca="1">IFERROR(_xlfn.XLOOKUP(tb_investimentos[[#This Row],[DESCRIÇÃO]],tb_acoes[Símbolo do ticker],tb_acoes[Preço]),"")</f>
        <v/>
      </c>
      <c r="R380" s="58" t="str">
        <f ca="1">IFERROR(tb_investimentos[[#This Row],[QUANTIDADE]]*tb_investimentos[[#This Row],[PREÇO MERCADO]],"")</f>
        <v/>
      </c>
      <c r="S380" s="58" t="str">
        <f ca="1">IFERROR(tb_investimentos[[#This Row],[VALOR TOTAL MERCADO]]-tb_investimentos[[#This Row],[VALOR TOTAL PONDERADO]],"")</f>
        <v/>
      </c>
      <c r="T380" s="58" t="str">
        <f ca="1">IFERROR(_xlfn.XLOOKUP(tb_investimentos[[#This Row],[DESCRIÇÃO]],'INFO AÇÕES'!E:E,'INFO AÇÕES'!H:H),"")</f>
        <v/>
      </c>
      <c r="U380" s="59" t="str">
        <f ca="1">IFERROR((tb_investimentos[[#This Row],[VALOR TOTAL MERCADO]]-tb_investimentos[[#This Row],[VALOR TOTAL PONDERADO]])/tb_investimentos[[#This Row],[VALOR TOTAL PONDERADO]],"")</f>
        <v/>
      </c>
    </row>
    <row r="381" spans="2:21" hidden="1" x14ac:dyDescent="0.2">
      <c r="B381" s="13" t="s">
        <v>77</v>
      </c>
      <c r="C381" s="72">
        <v>47314</v>
      </c>
      <c r="D381" s="9" t="s">
        <v>78</v>
      </c>
      <c r="E381" s="11" t="str">
        <f>IF(tb_investimentos[[#This Row],[TIPO MOVIMENTAÇÃO]]="Aporte",_xlfn.XLOOKUP(tb_investimentos[[#This Row],[DESCRIÇÃO]],'INFO AÇÕES'!E:E,'INFO AÇÕES'!I:I),"BRL")</f>
        <v>BRL</v>
      </c>
      <c r="F381" s="75" t="s">
        <v>101</v>
      </c>
      <c r="G381" s="11">
        <v>1</v>
      </c>
      <c r="H381" s="12">
        <v>79.900000000000006</v>
      </c>
      <c r="I381" s="13" t="s">
        <v>107</v>
      </c>
      <c r="J381" s="51">
        <f t="shared" si="10"/>
        <v>79.900000000000006</v>
      </c>
      <c r="K381" s="13" t="s">
        <v>105</v>
      </c>
      <c r="L381">
        <f>MONTH(tb_investimentos[[#This Row],[DATA]])</f>
        <v>7</v>
      </c>
      <c r="M381">
        <f>YEAR(tb_investimentos[[#This Row],[DATA]])</f>
        <v>2029</v>
      </c>
      <c r="N381">
        <f>DAY(tb_investimentos[[#This Row],[DATA]])</f>
        <v>15</v>
      </c>
      <c r="O381">
        <f t="shared" si="11"/>
        <v>59.90000000000002</v>
      </c>
      <c r="P381">
        <f>tb_investimentos[[#This Row],[PREÇO MÉDIO PONDERADO]]*tb_investimentos[[#This Row],[QUANTIDADE]]</f>
        <v>59.90000000000002</v>
      </c>
      <c r="Q381" s="58" t="str">
        <f ca="1">IFERROR(_xlfn.XLOOKUP(tb_investimentos[[#This Row],[DESCRIÇÃO]],tb_acoes[Símbolo do ticker],tb_acoes[Preço]),"")</f>
        <v/>
      </c>
      <c r="R381" s="58" t="str">
        <f ca="1">IFERROR(tb_investimentos[[#This Row],[QUANTIDADE]]*tb_investimentos[[#This Row],[PREÇO MERCADO]],"")</f>
        <v/>
      </c>
      <c r="S381" s="58" t="str">
        <f ca="1">IFERROR(tb_investimentos[[#This Row],[VALOR TOTAL MERCADO]]-tb_investimentos[[#This Row],[VALOR TOTAL PONDERADO]],"")</f>
        <v/>
      </c>
      <c r="T381" s="58" t="str">
        <f ca="1">IFERROR(_xlfn.XLOOKUP(tb_investimentos[[#This Row],[DESCRIÇÃO]],'INFO AÇÕES'!E:E,'INFO AÇÕES'!H:H),"")</f>
        <v/>
      </c>
      <c r="U381" s="59" t="str">
        <f ca="1">IFERROR((tb_investimentos[[#This Row],[VALOR TOTAL MERCADO]]-tb_investimentos[[#This Row],[VALOR TOTAL PONDERADO]])/tb_investimentos[[#This Row],[VALOR TOTAL PONDERADO]],"")</f>
        <v/>
      </c>
    </row>
    <row r="382" spans="2:21" hidden="1" x14ac:dyDescent="0.2">
      <c r="B382" s="13" t="s">
        <v>77</v>
      </c>
      <c r="C382" s="72">
        <v>47314</v>
      </c>
      <c r="D382" s="9" t="s">
        <v>79</v>
      </c>
      <c r="E382" s="11" t="str">
        <f>IF(tb_investimentos[[#This Row],[TIPO MOVIMENTAÇÃO]]="Aporte",_xlfn.XLOOKUP(tb_investimentos[[#This Row],[DESCRIÇÃO]],'INFO AÇÕES'!E:E,'INFO AÇÕES'!I:I),"BRL")</f>
        <v>BRL</v>
      </c>
      <c r="F382" s="75" t="s">
        <v>100</v>
      </c>
      <c r="G382" s="11">
        <v>1</v>
      </c>
      <c r="H382" s="12">
        <v>110</v>
      </c>
      <c r="I382" s="13" t="s">
        <v>107</v>
      </c>
      <c r="J382" s="51">
        <f t="shared" si="10"/>
        <v>110</v>
      </c>
      <c r="K382" s="13" t="s">
        <v>105</v>
      </c>
      <c r="L382">
        <f>MONTH(tb_investimentos[[#This Row],[DATA]])</f>
        <v>7</v>
      </c>
      <c r="M382">
        <f>YEAR(tb_investimentos[[#This Row],[DATA]])</f>
        <v>2029</v>
      </c>
      <c r="N382">
        <f>DAY(tb_investimentos[[#This Row],[DATA]])</f>
        <v>15</v>
      </c>
      <c r="O382">
        <f t="shared" si="11"/>
        <v>110</v>
      </c>
      <c r="P382">
        <f>tb_investimentos[[#This Row],[PREÇO MÉDIO PONDERADO]]*tb_investimentos[[#This Row],[QUANTIDADE]]</f>
        <v>110</v>
      </c>
      <c r="Q382" s="58" t="str">
        <f ca="1">IFERROR(_xlfn.XLOOKUP(tb_investimentos[[#This Row],[DESCRIÇÃO]],tb_acoes[Símbolo do ticker],tb_acoes[Preço]),"")</f>
        <v/>
      </c>
      <c r="R382" s="58" t="str">
        <f ca="1">IFERROR(tb_investimentos[[#This Row],[QUANTIDADE]]*tb_investimentos[[#This Row],[PREÇO MERCADO]],"")</f>
        <v/>
      </c>
      <c r="S382" s="58" t="str">
        <f ca="1">IFERROR(tb_investimentos[[#This Row],[VALOR TOTAL MERCADO]]-tb_investimentos[[#This Row],[VALOR TOTAL PONDERADO]],"")</f>
        <v/>
      </c>
      <c r="T382" s="58" t="str">
        <f ca="1">IFERROR(_xlfn.XLOOKUP(tb_investimentos[[#This Row],[DESCRIÇÃO]],'INFO AÇÕES'!E:E,'INFO AÇÕES'!H:H),"")</f>
        <v/>
      </c>
      <c r="U382" s="59" t="str">
        <f ca="1">IFERROR((tb_investimentos[[#This Row],[VALOR TOTAL MERCADO]]-tb_investimentos[[#This Row],[VALOR TOTAL PONDERADO]])/tb_investimentos[[#This Row],[VALOR TOTAL PONDERADO]],"")</f>
        <v/>
      </c>
    </row>
    <row r="383" spans="2:21" hidden="1" x14ac:dyDescent="0.2">
      <c r="B383" s="13" t="s">
        <v>77</v>
      </c>
      <c r="C383" s="72">
        <v>47314</v>
      </c>
      <c r="D383" s="9" t="s">
        <v>80</v>
      </c>
      <c r="E383" s="11" t="str">
        <f>IF(tb_investimentos[[#This Row],[TIPO MOVIMENTAÇÃO]]="Aporte",_xlfn.XLOOKUP(tb_investimentos[[#This Row],[DESCRIÇÃO]],'INFO AÇÕES'!E:E,'INFO AÇÕES'!I:I),"BRL")</f>
        <v>BRL</v>
      </c>
      <c r="F383" s="75" t="s">
        <v>99</v>
      </c>
      <c r="G383" s="11">
        <v>1</v>
      </c>
      <c r="H383" s="12">
        <v>25</v>
      </c>
      <c r="I383" s="13" t="s">
        <v>107</v>
      </c>
      <c r="J383" s="51">
        <f t="shared" si="10"/>
        <v>25</v>
      </c>
      <c r="K383" s="13" t="s">
        <v>105</v>
      </c>
      <c r="L383">
        <f>MONTH(tb_investimentos[[#This Row],[DATA]])</f>
        <v>7</v>
      </c>
      <c r="M383">
        <f>YEAR(tb_investimentos[[#This Row],[DATA]])</f>
        <v>2029</v>
      </c>
      <c r="N383">
        <f>DAY(tb_investimentos[[#This Row],[DATA]])</f>
        <v>15</v>
      </c>
      <c r="O383">
        <f t="shared" si="11"/>
        <v>25</v>
      </c>
      <c r="P383">
        <f>tb_investimentos[[#This Row],[PREÇO MÉDIO PONDERADO]]*tb_investimentos[[#This Row],[QUANTIDADE]]</f>
        <v>25</v>
      </c>
      <c r="Q383" s="58" t="str">
        <f ca="1">IFERROR(_xlfn.XLOOKUP(tb_investimentos[[#This Row],[DESCRIÇÃO]],tb_acoes[Símbolo do ticker],tb_acoes[Preço]),"")</f>
        <v/>
      </c>
      <c r="R383" s="58" t="str">
        <f ca="1">IFERROR(tb_investimentos[[#This Row],[QUANTIDADE]]*tb_investimentos[[#This Row],[PREÇO MERCADO]],"")</f>
        <v/>
      </c>
      <c r="S383" s="58" t="str">
        <f ca="1">IFERROR(tb_investimentos[[#This Row],[VALOR TOTAL MERCADO]]-tb_investimentos[[#This Row],[VALOR TOTAL PONDERADO]],"")</f>
        <v/>
      </c>
      <c r="T383" s="58" t="str">
        <f ca="1">IFERROR(_xlfn.XLOOKUP(tb_investimentos[[#This Row],[DESCRIÇÃO]],'INFO AÇÕES'!E:E,'INFO AÇÕES'!H:H),"")</f>
        <v/>
      </c>
      <c r="U383" s="59" t="str">
        <f ca="1">IFERROR((tb_investimentos[[#This Row],[VALOR TOTAL MERCADO]]-tb_investimentos[[#This Row],[VALOR TOTAL PONDERADO]])/tb_investimentos[[#This Row],[VALOR TOTAL PONDERADO]],"")</f>
        <v/>
      </c>
    </row>
    <row r="384" spans="2:21" hidden="1" x14ac:dyDescent="0.2">
      <c r="B384" s="13" t="s">
        <v>72</v>
      </c>
      <c r="C384" s="72">
        <v>47335</v>
      </c>
      <c r="D384" s="9" t="s">
        <v>76</v>
      </c>
      <c r="E384" s="11" t="str">
        <f>IF(tb_investimentos[[#This Row],[TIPO MOVIMENTAÇÃO]]="Aporte",_xlfn.XLOOKUP(tb_investimentos[[#This Row],[DESCRIÇÃO]],'INFO AÇÕES'!E:E,'INFO AÇÕES'!I:I),"BRL")</f>
        <v>BRL</v>
      </c>
      <c r="F384" s="75" t="s">
        <v>73</v>
      </c>
      <c r="G384" s="11">
        <v>1</v>
      </c>
      <c r="H384" s="12">
        <v>8000</v>
      </c>
      <c r="I384" s="13" t="s">
        <v>107</v>
      </c>
      <c r="J384" s="51">
        <f t="shared" si="10"/>
        <v>8000</v>
      </c>
      <c r="K384" s="13" t="s">
        <v>105</v>
      </c>
      <c r="L384">
        <f>MONTH(tb_investimentos[[#This Row],[DATA]])</f>
        <v>8</v>
      </c>
      <c r="M384">
        <f>YEAR(tb_investimentos[[#This Row],[DATA]])</f>
        <v>2029</v>
      </c>
      <c r="N384">
        <f>DAY(tb_investimentos[[#This Row],[DATA]])</f>
        <v>5</v>
      </c>
      <c r="O384">
        <f t="shared" si="11"/>
        <v>7801.7948717948721</v>
      </c>
      <c r="P384">
        <f>tb_investimentos[[#This Row],[PREÇO MÉDIO PONDERADO]]*tb_investimentos[[#This Row],[QUANTIDADE]]</f>
        <v>7801.7948717948721</v>
      </c>
      <c r="Q384" s="58" t="str">
        <f ca="1">IFERROR(_xlfn.XLOOKUP(tb_investimentos[[#This Row],[DESCRIÇÃO]],tb_acoes[Símbolo do ticker],tb_acoes[Preço]),"")</f>
        <v/>
      </c>
      <c r="R384" s="58" t="str">
        <f ca="1">IFERROR(tb_investimentos[[#This Row],[QUANTIDADE]]*tb_investimentos[[#This Row],[PREÇO MERCADO]],"")</f>
        <v/>
      </c>
      <c r="S384" s="58" t="str">
        <f ca="1">IFERROR(tb_investimentos[[#This Row],[VALOR TOTAL MERCADO]]-tb_investimentos[[#This Row],[VALOR TOTAL PONDERADO]],"")</f>
        <v/>
      </c>
      <c r="T384" s="58" t="str">
        <f ca="1">IFERROR(_xlfn.XLOOKUP(tb_investimentos[[#This Row],[DESCRIÇÃO]],'INFO AÇÕES'!E:E,'INFO AÇÕES'!H:H),"")</f>
        <v/>
      </c>
      <c r="U384" s="59" t="str">
        <f ca="1">IFERROR((tb_investimentos[[#This Row],[VALOR TOTAL MERCADO]]-tb_investimentos[[#This Row],[VALOR TOTAL PONDERADO]])/tb_investimentos[[#This Row],[VALOR TOTAL PONDERADO]],"")</f>
        <v/>
      </c>
    </row>
    <row r="385" spans="2:21" hidden="1" x14ac:dyDescent="0.2">
      <c r="B385" s="13" t="s">
        <v>39</v>
      </c>
      <c r="C385" s="10">
        <v>47335</v>
      </c>
      <c r="D385" s="9"/>
      <c r="E385" s="11">
        <f ca="1">IF(tb_investimentos[[#This Row],[TIPO MOVIMENTAÇÃO]]="Aporte",_xlfn.XLOOKUP(tb_investimentos[[#This Row],[DESCRIÇÃO]],'INFO AÇÕES'!E:E,'INFO AÇÕES'!I:I),"BRL")</f>
        <v>0</v>
      </c>
      <c r="F385" s="73" t="s">
        <v>10</v>
      </c>
      <c r="G385" s="11">
        <v>1</v>
      </c>
      <c r="H385" s="12">
        <v>3000</v>
      </c>
      <c r="I385" s="13" t="s">
        <v>58</v>
      </c>
      <c r="J385" s="51">
        <f t="shared" si="10"/>
        <v>3000</v>
      </c>
      <c r="K385" s="11" t="s">
        <v>105</v>
      </c>
      <c r="L385">
        <f>MONTH(tb_investimentos[[#This Row],[DATA]])</f>
        <v>8</v>
      </c>
      <c r="M385">
        <f>YEAR(tb_investimentos[[#This Row],[DATA]])</f>
        <v>2029</v>
      </c>
      <c r="N385">
        <f>DAY(tb_investimentos[[#This Row],[DATA]])</f>
        <v>5</v>
      </c>
      <c r="O385" t="e">
        <f t="shared" si="11"/>
        <v>#DIV/0!</v>
      </c>
      <c r="P385" t="e">
        <f>tb_investimentos[[#This Row],[PREÇO MÉDIO PONDERADO]]*tb_investimentos[[#This Row],[QUANTIDADE]]</f>
        <v>#DIV/0!</v>
      </c>
      <c r="Q385" s="58" t="str">
        <f ca="1">IFERROR(_xlfn.XLOOKUP(tb_investimentos[[#This Row],[DESCRIÇÃO]],tb_acoes[Símbolo do ticker],tb_acoes[Preço]),"")</f>
        <v/>
      </c>
      <c r="R385" s="58" t="str">
        <f ca="1">IFERROR(tb_investimentos[[#This Row],[QUANTIDADE]]*tb_investimentos[[#This Row],[PREÇO MERCADO]],"")</f>
        <v/>
      </c>
      <c r="S385" s="58" t="str">
        <f ca="1">IFERROR(tb_investimentos[[#This Row],[VALOR TOTAL MERCADO]]-tb_investimentos[[#This Row],[VALOR TOTAL PONDERADO]],"")</f>
        <v/>
      </c>
      <c r="T385" s="58" t="str">
        <f ca="1">IFERROR(_xlfn.XLOOKUP(tb_investimentos[[#This Row],[DESCRIÇÃO]],'INFO AÇÕES'!E:E,'INFO AÇÕES'!H:H),"")</f>
        <v/>
      </c>
      <c r="U385" s="59" t="str">
        <f ca="1">IFERROR((tb_investimentos[[#This Row],[VALOR TOTAL MERCADO]]-tb_investimentos[[#This Row],[VALOR TOTAL PONDERADO]])/tb_investimentos[[#This Row],[VALOR TOTAL PONDERADO]],"")</f>
        <v/>
      </c>
    </row>
    <row r="386" spans="2:21" hidden="1" x14ac:dyDescent="0.2">
      <c r="B386" s="13" t="s">
        <v>77</v>
      </c>
      <c r="C386" s="10">
        <v>47345</v>
      </c>
      <c r="D386" s="9" t="s">
        <v>88</v>
      </c>
      <c r="E386" s="11" t="str">
        <f>IF(tb_investimentos[[#This Row],[TIPO MOVIMENTAÇÃO]]="Aporte",_xlfn.XLOOKUP(tb_investimentos[[#This Row],[DESCRIÇÃO]],'INFO AÇÕES'!E:E,'INFO AÇÕES'!I:I),"BRL")</f>
        <v>BRL</v>
      </c>
      <c r="F386" s="75" t="s">
        <v>131</v>
      </c>
      <c r="G386" s="11">
        <v>1</v>
      </c>
      <c r="H386" s="12">
        <v>2192.1596000000004</v>
      </c>
      <c r="I386" s="13" t="s">
        <v>107</v>
      </c>
      <c r="J386" s="51">
        <f t="shared" si="10"/>
        <v>2192.1596000000004</v>
      </c>
      <c r="K386" s="13" t="s">
        <v>105</v>
      </c>
      <c r="L386">
        <f>MONTH(tb_investimentos[[#This Row],[DATA]])</f>
        <v>8</v>
      </c>
      <c r="M386">
        <f>YEAR(tb_investimentos[[#This Row],[DATA]])</f>
        <v>2029</v>
      </c>
      <c r="N386">
        <f>DAY(tb_investimentos[[#This Row],[DATA]])</f>
        <v>15</v>
      </c>
      <c r="O386">
        <f t="shared" si="11"/>
        <v>1629.9930261538464</v>
      </c>
      <c r="P386">
        <f>tb_investimentos[[#This Row],[PREÇO MÉDIO PONDERADO]]*tb_investimentos[[#This Row],[QUANTIDADE]]</f>
        <v>1629.9930261538464</v>
      </c>
      <c r="Q386" s="58" t="str">
        <f ca="1">IFERROR(_xlfn.XLOOKUP(tb_investimentos[[#This Row],[DESCRIÇÃO]],tb_acoes[Símbolo do ticker],tb_acoes[Preço]),"")</f>
        <v/>
      </c>
      <c r="R386" s="58" t="str">
        <f ca="1">IFERROR(tb_investimentos[[#This Row],[QUANTIDADE]]*tb_investimentos[[#This Row],[PREÇO MERCADO]],"")</f>
        <v/>
      </c>
      <c r="S386" s="58" t="str">
        <f ca="1">IFERROR(tb_investimentos[[#This Row],[VALOR TOTAL MERCADO]]-tb_investimentos[[#This Row],[VALOR TOTAL PONDERADO]],"")</f>
        <v/>
      </c>
      <c r="T386" s="58" t="str">
        <f ca="1">IFERROR(_xlfn.XLOOKUP(tb_investimentos[[#This Row],[DESCRIÇÃO]],'INFO AÇÕES'!E:E,'INFO AÇÕES'!H:H),"")</f>
        <v/>
      </c>
      <c r="U386" s="59" t="str">
        <f ca="1">IFERROR((tb_investimentos[[#This Row],[VALOR TOTAL MERCADO]]-tb_investimentos[[#This Row],[VALOR TOTAL PONDERADO]])/tb_investimentos[[#This Row],[VALOR TOTAL PONDERADO]],"")</f>
        <v/>
      </c>
    </row>
    <row r="387" spans="2:21" hidden="1" x14ac:dyDescent="0.2">
      <c r="B387" s="13" t="s">
        <v>77</v>
      </c>
      <c r="C387" s="10">
        <v>47345</v>
      </c>
      <c r="D387" s="9" t="s">
        <v>130</v>
      </c>
      <c r="E387" s="11" t="str">
        <f>IF(tb_investimentos[[#This Row],[TIPO MOVIMENTAÇÃO]]="Aporte",_xlfn.XLOOKUP(tb_investimentos[[#This Row],[DESCRIÇÃO]],'INFO AÇÕES'!E:E,'INFO AÇÕES'!I:I),"BRL")</f>
        <v>BRL</v>
      </c>
      <c r="F387" s="75" t="s">
        <v>83</v>
      </c>
      <c r="G387" s="11">
        <v>1</v>
      </c>
      <c r="H387" s="12">
        <v>400</v>
      </c>
      <c r="I387" s="13" t="s">
        <v>107</v>
      </c>
      <c r="J387" s="51">
        <f t="shared" si="10"/>
        <v>400</v>
      </c>
      <c r="K387" s="13" t="s">
        <v>105</v>
      </c>
      <c r="L387">
        <f>MONTH(tb_investimentos[[#This Row],[DATA]])</f>
        <v>8</v>
      </c>
      <c r="M387">
        <f>YEAR(tb_investimentos[[#This Row],[DATA]])</f>
        <v>2029</v>
      </c>
      <c r="N387">
        <f>DAY(tb_investimentos[[#This Row],[DATA]])</f>
        <v>15</v>
      </c>
      <c r="O387">
        <f t="shared" si="11"/>
        <v>400</v>
      </c>
      <c r="P387">
        <f>tb_investimentos[[#This Row],[PREÇO MÉDIO PONDERADO]]*tb_investimentos[[#This Row],[QUANTIDADE]]</f>
        <v>400</v>
      </c>
      <c r="Q387" s="58" t="str">
        <f ca="1">IFERROR(_xlfn.XLOOKUP(tb_investimentos[[#This Row],[DESCRIÇÃO]],tb_acoes[Símbolo do ticker],tb_acoes[Preço]),"")</f>
        <v/>
      </c>
      <c r="R387" s="58" t="str">
        <f ca="1">IFERROR(tb_investimentos[[#This Row],[QUANTIDADE]]*tb_investimentos[[#This Row],[PREÇO MERCADO]],"")</f>
        <v/>
      </c>
      <c r="S387" s="58" t="str">
        <f ca="1">IFERROR(tb_investimentos[[#This Row],[VALOR TOTAL MERCADO]]-tb_investimentos[[#This Row],[VALOR TOTAL PONDERADO]],"")</f>
        <v/>
      </c>
      <c r="T387" s="58" t="str">
        <f ca="1">IFERROR(_xlfn.XLOOKUP(tb_investimentos[[#This Row],[DESCRIÇÃO]],'INFO AÇÕES'!E:E,'INFO AÇÕES'!H:H),"")</f>
        <v/>
      </c>
      <c r="U387" s="59" t="str">
        <f ca="1">IFERROR((tb_investimentos[[#This Row],[VALOR TOTAL MERCADO]]-tb_investimentos[[#This Row],[VALOR TOTAL PONDERADO]])/tb_investimentos[[#This Row],[VALOR TOTAL PONDERADO]],"")</f>
        <v/>
      </c>
    </row>
    <row r="388" spans="2:21" hidden="1" x14ac:dyDescent="0.2">
      <c r="B388" s="13" t="s">
        <v>77</v>
      </c>
      <c r="C388" s="72">
        <v>47345</v>
      </c>
      <c r="D388" s="9" t="s">
        <v>78</v>
      </c>
      <c r="E388" s="11" t="str">
        <f>IF(tb_investimentos[[#This Row],[TIPO MOVIMENTAÇÃO]]="Aporte",_xlfn.XLOOKUP(tb_investimentos[[#This Row],[DESCRIÇÃO]],'INFO AÇÕES'!E:E,'INFO AÇÕES'!I:I),"BRL")</f>
        <v>BRL</v>
      </c>
      <c r="F388" s="75" t="s">
        <v>102</v>
      </c>
      <c r="G388" s="11">
        <v>1</v>
      </c>
      <c r="H388" s="12">
        <v>39.9</v>
      </c>
      <c r="I388" s="13" t="s">
        <v>107</v>
      </c>
      <c r="J388" s="51">
        <f t="shared" si="10"/>
        <v>39.9</v>
      </c>
      <c r="K388" s="13" t="s">
        <v>105</v>
      </c>
      <c r="L388">
        <f>MONTH(tb_investimentos[[#This Row],[DATA]])</f>
        <v>8</v>
      </c>
      <c r="M388">
        <f>YEAR(tb_investimentos[[#This Row],[DATA]])</f>
        <v>2029</v>
      </c>
      <c r="N388">
        <f>DAY(tb_investimentos[[#This Row],[DATA]])</f>
        <v>15</v>
      </c>
      <c r="O388">
        <f t="shared" si="11"/>
        <v>59.90000000000002</v>
      </c>
      <c r="P388">
        <f>tb_investimentos[[#This Row],[PREÇO MÉDIO PONDERADO]]*tb_investimentos[[#This Row],[QUANTIDADE]]</f>
        <v>59.90000000000002</v>
      </c>
      <c r="Q388" s="58" t="str">
        <f ca="1">IFERROR(_xlfn.XLOOKUP(tb_investimentos[[#This Row],[DESCRIÇÃO]],tb_acoes[Símbolo do ticker],tb_acoes[Preço]),"")</f>
        <v/>
      </c>
      <c r="R388" s="58" t="str">
        <f ca="1">IFERROR(tb_investimentos[[#This Row],[QUANTIDADE]]*tb_investimentos[[#This Row],[PREÇO MERCADO]],"")</f>
        <v/>
      </c>
      <c r="S388" s="58" t="str">
        <f ca="1">IFERROR(tb_investimentos[[#This Row],[VALOR TOTAL MERCADO]]-tb_investimentos[[#This Row],[VALOR TOTAL PONDERADO]],"")</f>
        <v/>
      </c>
      <c r="T388" s="58" t="str">
        <f ca="1">IFERROR(_xlfn.XLOOKUP(tb_investimentos[[#This Row],[DESCRIÇÃO]],'INFO AÇÕES'!E:E,'INFO AÇÕES'!H:H),"")</f>
        <v/>
      </c>
      <c r="U388" s="59" t="str">
        <f ca="1">IFERROR((tb_investimentos[[#This Row],[VALOR TOTAL MERCADO]]-tb_investimentos[[#This Row],[VALOR TOTAL PONDERADO]])/tb_investimentos[[#This Row],[VALOR TOTAL PONDERADO]],"")</f>
        <v/>
      </c>
    </row>
    <row r="389" spans="2:21" hidden="1" x14ac:dyDescent="0.2">
      <c r="B389" s="13" t="s">
        <v>77</v>
      </c>
      <c r="C389" s="72">
        <v>47345</v>
      </c>
      <c r="D389" s="9" t="s">
        <v>78</v>
      </c>
      <c r="E389" s="11" t="str">
        <f>IF(tb_investimentos[[#This Row],[TIPO MOVIMENTAÇÃO]]="Aporte",_xlfn.XLOOKUP(tb_investimentos[[#This Row],[DESCRIÇÃO]],'INFO AÇÕES'!E:E,'INFO AÇÕES'!I:I),"BRL")</f>
        <v>BRL</v>
      </c>
      <c r="F389" s="75" t="s">
        <v>101</v>
      </c>
      <c r="G389" s="11">
        <v>1</v>
      </c>
      <c r="H389" s="12">
        <v>79.900000000000006</v>
      </c>
      <c r="I389" s="13" t="s">
        <v>107</v>
      </c>
      <c r="J389" s="51">
        <f t="shared" ref="J389:J430" si="12">H389*G389</f>
        <v>79.900000000000006</v>
      </c>
      <c r="K389" s="13" t="s">
        <v>105</v>
      </c>
      <c r="L389">
        <f>MONTH(tb_investimentos[[#This Row],[DATA]])</f>
        <v>8</v>
      </c>
      <c r="M389">
        <f>YEAR(tb_investimentos[[#This Row],[DATA]])</f>
        <v>2029</v>
      </c>
      <c r="N389">
        <f>DAY(tb_investimentos[[#This Row],[DATA]])</f>
        <v>15</v>
      </c>
      <c r="O389">
        <f t="shared" ref="O389:O437" si="13">SUMIF($D$5:$D$10000, D389, $J$5:$J$10000) / SUMIF($D$5:$D$10000, D389, $G$5:$G$10000)</f>
        <v>59.90000000000002</v>
      </c>
      <c r="P389">
        <f>tb_investimentos[[#This Row],[PREÇO MÉDIO PONDERADO]]*tb_investimentos[[#This Row],[QUANTIDADE]]</f>
        <v>59.90000000000002</v>
      </c>
      <c r="Q389" s="58" t="str">
        <f ca="1">IFERROR(_xlfn.XLOOKUP(tb_investimentos[[#This Row],[DESCRIÇÃO]],tb_acoes[Símbolo do ticker],tb_acoes[Preço]),"")</f>
        <v/>
      </c>
      <c r="R389" s="58" t="str">
        <f ca="1">IFERROR(tb_investimentos[[#This Row],[QUANTIDADE]]*tb_investimentos[[#This Row],[PREÇO MERCADO]],"")</f>
        <v/>
      </c>
      <c r="S389" s="58" t="str">
        <f ca="1">IFERROR(tb_investimentos[[#This Row],[VALOR TOTAL MERCADO]]-tb_investimentos[[#This Row],[VALOR TOTAL PONDERADO]],"")</f>
        <v/>
      </c>
      <c r="T389" s="58" t="str">
        <f ca="1">IFERROR(_xlfn.XLOOKUP(tb_investimentos[[#This Row],[DESCRIÇÃO]],'INFO AÇÕES'!E:E,'INFO AÇÕES'!H:H),"")</f>
        <v/>
      </c>
      <c r="U389" s="59" t="str">
        <f ca="1">IFERROR((tb_investimentos[[#This Row],[VALOR TOTAL MERCADO]]-tb_investimentos[[#This Row],[VALOR TOTAL PONDERADO]])/tb_investimentos[[#This Row],[VALOR TOTAL PONDERADO]],"")</f>
        <v/>
      </c>
    </row>
    <row r="390" spans="2:21" hidden="1" x14ac:dyDescent="0.2">
      <c r="B390" s="13" t="s">
        <v>77</v>
      </c>
      <c r="C390" s="72">
        <v>47345</v>
      </c>
      <c r="D390" s="9" t="s">
        <v>79</v>
      </c>
      <c r="E390" s="11" t="str">
        <f>IF(tb_investimentos[[#This Row],[TIPO MOVIMENTAÇÃO]]="Aporte",_xlfn.XLOOKUP(tb_investimentos[[#This Row],[DESCRIÇÃO]],'INFO AÇÕES'!E:E,'INFO AÇÕES'!I:I),"BRL")</f>
        <v>BRL</v>
      </c>
      <c r="F390" s="75" t="s">
        <v>100</v>
      </c>
      <c r="G390" s="11">
        <v>1</v>
      </c>
      <c r="H390" s="12">
        <v>110</v>
      </c>
      <c r="I390" s="13" t="s">
        <v>107</v>
      </c>
      <c r="J390" s="51">
        <f t="shared" si="12"/>
        <v>110</v>
      </c>
      <c r="K390" s="13" t="s">
        <v>105</v>
      </c>
      <c r="L390">
        <f>MONTH(tb_investimentos[[#This Row],[DATA]])</f>
        <v>8</v>
      </c>
      <c r="M390">
        <f>YEAR(tb_investimentos[[#This Row],[DATA]])</f>
        <v>2029</v>
      </c>
      <c r="N390">
        <f>DAY(tb_investimentos[[#This Row],[DATA]])</f>
        <v>15</v>
      </c>
      <c r="O390">
        <f t="shared" si="13"/>
        <v>110</v>
      </c>
      <c r="P390">
        <f>tb_investimentos[[#This Row],[PREÇO MÉDIO PONDERADO]]*tb_investimentos[[#This Row],[QUANTIDADE]]</f>
        <v>110</v>
      </c>
      <c r="Q390" s="58" t="str">
        <f ca="1">IFERROR(_xlfn.XLOOKUP(tb_investimentos[[#This Row],[DESCRIÇÃO]],tb_acoes[Símbolo do ticker],tb_acoes[Preço]),"")</f>
        <v/>
      </c>
      <c r="R390" s="58" t="str">
        <f ca="1">IFERROR(tb_investimentos[[#This Row],[QUANTIDADE]]*tb_investimentos[[#This Row],[PREÇO MERCADO]],"")</f>
        <v/>
      </c>
      <c r="S390" s="58" t="str">
        <f ca="1">IFERROR(tb_investimentos[[#This Row],[VALOR TOTAL MERCADO]]-tb_investimentos[[#This Row],[VALOR TOTAL PONDERADO]],"")</f>
        <v/>
      </c>
      <c r="T390" s="58" t="str">
        <f ca="1">IFERROR(_xlfn.XLOOKUP(tb_investimentos[[#This Row],[DESCRIÇÃO]],'INFO AÇÕES'!E:E,'INFO AÇÕES'!H:H),"")</f>
        <v/>
      </c>
      <c r="U390" s="59" t="str">
        <f ca="1">IFERROR((tb_investimentos[[#This Row],[VALOR TOTAL MERCADO]]-tb_investimentos[[#This Row],[VALOR TOTAL PONDERADO]])/tb_investimentos[[#This Row],[VALOR TOTAL PONDERADO]],"")</f>
        <v/>
      </c>
    </row>
    <row r="391" spans="2:21" hidden="1" x14ac:dyDescent="0.2">
      <c r="B391" s="13" t="s">
        <v>77</v>
      </c>
      <c r="C391" s="72">
        <v>47345</v>
      </c>
      <c r="D391" s="9" t="s">
        <v>80</v>
      </c>
      <c r="E391" s="11" t="str">
        <f>IF(tb_investimentos[[#This Row],[TIPO MOVIMENTAÇÃO]]="Aporte",_xlfn.XLOOKUP(tb_investimentos[[#This Row],[DESCRIÇÃO]],'INFO AÇÕES'!E:E,'INFO AÇÕES'!I:I),"BRL")</f>
        <v>BRL</v>
      </c>
      <c r="F391" s="75" t="s">
        <v>99</v>
      </c>
      <c r="G391" s="11">
        <v>1</v>
      </c>
      <c r="H391" s="12">
        <v>25</v>
      </c>
      <c r="I391" s="13" t="s">
        <v>107</v>
      </c>
      <c r="J391" s="51">
        <f t="shared" si="12"/>
        <v>25</v>
      </c>
      <c r="K391" s="13" t="s">
        <v>105</v>
      </c>
      <c r="L391">
        <f>MONTH(tb_investimentos[[#This Row],[DATA]])</f>
        <v>8</v>
      </c>
      <c r="M391">
        <f>YEAR(tb_investimentos[[#This Row],[DATA]])</f>
        <v>2029</v>
      </c>
      <c r="N391">
        <f>DAY(tb_investimentos[[#This Row],[DATA]])</f>
        <v>15</v>
      </c>
      <c r="O391">
        <f t="shared" si="13"/>
        <v>25</v>
      </c>
      <c r="P391">
        <f>tb_investimentos[[#This Row],[PREÇO MÉDIO PONDERADO]]*tb_investimentos[[#This Row],[QUANTIDADE]]</f>
        <v>25</v>
      </c>
      <c r="Q391" s="58" t="str">
        <f ca="1">IFERROR(_xlfn.XLOOKUP(tb_investimentos[[#This Row],[DESCRIÇÃO]],tb_acoes[Símbolo do ticker],tb_acoes[Preço]),"")</f>
        <v/>
      </c>
      <c r="R391" s="58" t="str">
        <f ca="1">IFERROR(tb_investimentos[[#This Row],[QUANTIDADE]]*tb_investimentos[[#This Row],[PREÇO MERCADO]],"")</f>
        <v/>
      </c>
      <c r="S391" s="58" t="str">
        <f ca="1">IFERROR(tb_investimentos[[#This Row],[VALOR TOTAL MERCADO]]-tb_investimentos[[#This Row],[VALOR TOTAL PONDERADO]],"")</f>
        <v/>
      </c>
      <c r="T391" s="58" t="str">
        <f ca="1">IFERROR(_xlfn.XLOOKUP(tb_investimentos[[#This Row],[DESCRIÇÃO]],'INFO AÇÕES'!E:E,'INFO AÇÕES'!H:H),"")</f>
        <v/>
      </c>
      <c r="U391" s="59" t="str">
        <f ca="1">IFERROR((tb_investimentos[[#This Row],[VALOR TOTAL MERCADO]]-tb_investimentos[[#This Row],[VALOR TOTAL PONDERADO]])/tb_investimentos[[#This Row],[VALOR TOTAL PONDERADO]],"")</f>
        <v/>
      </c>
    </row>
    <row r="392" spans="2:21" hidden="1" x14ac:dyDescent="0.2">
      <c r="B392" s="13" t="s">
        <v>72</v>
      </c>
      <c r="C392" s="72">
        <v>47366</v>
      </c>
      <c r="D392" s="9" t="s">
        <v>76</v>
      </c>
      <c r="E392" s="11" t="str">
        <f>IF(tb_investimentos[[#This Row],[TIPO MOVIMENTAÇÃO]]="Aporte",_xlfn.XLOOKUP(tb_investimentos[[#This Row],[DESCRIÇÃO]],'INFO AÇÕES'!E:E,'INFO AÇÕES'!I:I),"BRL")</f>
        <v>BRL</v>
      </c>
      <c r="F392" s="75" t="s">
        <v>73</v>
      </c>
      <c r="G392" s="11">
        <v>1</v>
      </c>
      <c r="H392" s="12">
        <v>8000</v>
      </c>
      <c r="I392" s="13" t="s">
        <v>107</v>
      </c>
      <c r="J392" s="51">
        <f t="shared" si="12"/>
        <v>8000</v>
      </c>
      <c r="K392" s="13" t="s">
        <v>105</v>
      </c>
      <c r="L392">
        <f>MONTH(tb_investimentos[[#This Row],[DATA]])</f>
        <v>9</v>
      </c>
      <c r="M392">
        <f>YEAR(tb_investimentos[[#This Row],[DATA]])</f>
        <v>2029</v>
      </c>
      <c r="N392">
        <f>DAY(tb_investimentos[[#This Row],[DATA]])</f>
        <v>5</v>
      </c>
      <c r="O392">
        <f t="shared" si="13"/>
        <v>7801.7948717948721</v>
      </c>
      <c r="P392">
        <f>tb_investimentos[[#This Row],[PREÇO MÉDIO PONDERADO]]*tb_investimentos[[#This Row],[QUANTIDADE]]</f>
        <v>7801.7948717948721</v>
      </c>
      <c r="Q392" s="58" t="str">
        <f ca="1">IFERROR(_xlfn.XLOOKUP(tb_investimentos[[#This Row],[DESCRIÇÃO]],tb_acoes[Símbolo do ticker],tb_acoes[Preço]),"")</f>
        <v/>
      </c>
      <c r="R392" s="58" t="str">
        <f ca="1">IFERROR(tb_investimentos[[#This Row],[QUANTIDADE]]*tb_investimentos[[#This Row],[PREÇO MERCADO]],"")</f>
        <v/>
      </c>
      <c r="S392" s="58" t="str">
        <f ca="1">IFERROR(tb_investimentos[[#This Row],[VALOR TOTAL MERCADO]]-tb_investimentos[[#This Row],[VALOR TOTAL PONDERADO]],"")</f>
        <v/>
      </c>
      <c r="T392" s="58" t="str">
        <f ca="1">IFERROR(_xlfn.XLOOKUP(tb_investimentos[[#This Row],[DESCRIÇÃO]],'INFO AÇÕES'!E:E,'INFO AÇÕES'!H:H),"")</f>
        <v/>
      </c>
      <c r="U392" s="59" t="str">
        <f ca="1">IFERROR((tb_investimentos[[#This Row],[VALOR TOTAL MERCADO]]-tb_investimentos[[#This Row],[VALOR TOTAL PONDERADO]])/tb_investimentos[[#This Row],[VALOR TOTAL PONDERADO]],"")</f>
        <v/>
      </c>
    </row>
    <row r="393" spans="2:21" hidden="1" x14ac:dyDescent="0.2">
      <c r="B393" s="13" t="s">
        <v>39</v>
      </c>
      <c r="C393" s="10">
        <v>47366</v>
      </c>
      <c r="D393" s="9"/>
      <c r="E393" s="11">
        <f ca="1">IF(tb_investimentos[[#This Row],[TIPO MOVIMENTAÇÃO]]="Aporte",_xlfn.XLOOKUP(tb_investimentos[[#This Row],[DESCRIÇÃO]],'INFO AÇÕES'!E:E,'INFO AÇÕES'!I:I),"BRL")</f>
        <v>0</v>
      </c>
      <c r="F393" s="73" t="s">
        <v>10</v>
      </c>
      <c r="G393" s="11">
        <v>1</v>
      </c>
      <c r="H393" s="12">
        <v>3000</v>
      </c>
      <c r="I393" s="13" t="s">
        <v>58</v>
      </c>
      <c r="J393" s="51">
        <f t="shared" si="12"/>
        <v>3000</v>
      </c>
      <c r="K393" s="11" t="s">
        <v>105</v>
      </c>
      <c r="L393">
        <f>MONTH(tb_investimentos[[#This Row],[DATA]])</f>
        <v>9</v>
      </c>
      <c r="M393">
        <f>YEAR(tb_investimentos[[#This Row],[DATA]])</f>
        <v>2029</v>
      </c>
      <c r="N393">
        <f>DAY(tb_investimentos[[#This Row],[DATA]])</f>
        <v>5</v>
      </c>
      <c r="O393" t="e">
        <f t="shared" si="13"/>
        <v>#DIV/0!</v>
      </c>
      <c r="P393" t="e">
        <f>tb_investimentos[[#This Row],[PREÇO MÉDIO PONDERADO]]*tb_investimentos[[#This Row],[QUANTIDADE]]</f>
        <v>#DIV/0!</v>
      </c>
      <c r="Q393" s="58" t="str">
        <f ca="1">IFERROR(_xlfn.XLOOKUP(tb_investimentos[[#This Row],[DESCRIÇÃO]],tb_acoes[Símbolo do ticker],tb_acoes[Preço]),"")</f>
        <v/>
      </c>
      <c r="R393" s="58" t="str">
        <f ca="1">IFERROR(tb_investimentos[[#This Row],[QUANTIDADE]]*tb_investimentos[[#This Row],[PREÇO MERCADO]],"")</f>
        <v/>
      </c>
      <c r="S393" s="58" t="str">
        <f ca="1">IFERROR(tb_investimentos[[#This Row],[VALOR TOTAL MERCADO]]-tb_investimentos[[#This Row],[VALOR TOTAL PONDERADO]],"")</f>
        <v/>
      </c>
      <c r="T393" s="58" t="str">
        <f ca="1">IFERROR(_xlfn.XLOOKUP(tb_investimentos[[#This Row],[DESCRIÇÃO]],'INFO AÇÕES'!E:E,'INFO AÇÕES'!H:H),"")</f>
        <v/>
      </c>
      <c r="U393" s="59" t="str">
        <f ca="1">IFERROR((tb_investimentos[[#This Row],[VALOR TOTAL MERCADO]]-tb_investimentos[[#This Row],[VALOR TOTAL PONDERADO]])/tb_investimentos[[#This Row],[VALOR TOTAL PONDERADO]],"")</f>
        <v/>
      </c>
    </row>
    <row r="394" spans="2:21" hidden="1" x14ac:dyDescent="0.2">
      <c r="B394" s="13" t="s">
        <v>77</v>
      </c>
      <c r="C394" s="10">
        <v>47376</v>
      </c>
      <c r="D394" s="9" t="s">
        <v>88</v>
      </c>
      <c r="E394" s="11" t="str">
        <f>IF(tb_investimentos[[#This Row],[TIPO MOVIMENTAÇÃO]]="Aporte",_xlfn.XLOOKUP(tb_investimentos[[#This Row],[DESCRIÇÃO]],'INFO AÇÕES'!E:E,'INFO AÇÕES'!I:I),"BRL")</f>
        <v>BRL</v>
      </c>
      <c r="F394" s="75" t="s">
        <v>131</v>
      </c>
      <c r="G394" s="11">
        <v>1</v>
      </c>
      <c r="H394" s="12">
        <v>2192.1491799999999</v>
      </c>
      <c r="I394" s="13" t="s">
        <v>107</v>
      </c>
      <c r="J394" s="51">
        <f t="shared" si="12"/>
        <v>2192.1491799999999</v>
      </c>
      <c r="K394" s="13" t="s">
        <v>105</v>
      </c>
      <c r="L394">
        <f>MONTH(tb_investimentos[[#This Row],[DATA]])</f>
        <v>9</v>
      </c>
      <c r="M394">
        <f>YEAR(tb_investimentos[[#This Row],[DATA]])</f>
        <v>2029</v>
      </c>
      <c r="N394">
        <f>DAY(tb_investimentos[[#This Row],[DATA]])</f>
        <v>15</v>
      </c>
      <c r="O394">
        <f t="shared" si="13"/>
        <v>1629.9930261538464</v>
      </c>
      <c r="P394">
        <f>tb_investimentos[[#This Row],[PREÇO MÉDIO PONDERADO]]*tb_investimentos[[#This Row],[QUANTIDADE]]</f>
        <v>1629.9930261538464</v>
      </c>
      <c r="Q394" s="58" t="str">
        <f ca="1">IFERROR(_xlfn.XLOOKUP(tb_investimentos[[#This Row],[DESCRIÇÃO]],tb_acoes[Símbolo do ticker],tb_acoes[Preço]),"")</f>
        <v/>
      </c>
      <c r="R394" s="58" t="str">
        <f ca="1">IFERROR(tb_investimentos[[#This Row],[QUANTIDADE]]*tb_investimentos[[#This Row],[PREÇO MERCADO]],"")</f>
        <v/>
      </c>
      <c r="S394" s="58" t="str">
        <f ca="1">IFERROR(tb_investimentos[[#This Row],[VALOR TOTAL MERCADO]]-tb_investimentos[[#This Row],[VALOR TOTAL PONDERADO]],"")</f>
        <v/>
      </c>
      <c r="T394" s="58" t="str">
        <f ca="1">IFERROR(_xlfn.XLOOKUP(tb_investimentos[[#This Row],[DESCRIÇÃO]],'INFO AÇÕES'!E:E,'INFO AÇÕES'!H:H),"")</f>
        <v/>
      </c>
      <c r="U394" s="59" t="str">
        <f ca="1">IFERROR((tb_investimentos[[#This Row],[VALOR TOTAL MERCADO]]-tb_investimentos[[#This Row],[VALOR TOTAL PONDERADO]])/tb_investimentos[[#This Row],[VALOR TOTAL PONDERADO]],"")</f>
        <v/>
      </c>
    </row>
    <row r="395" spans="2:21" hidden="1" x14ac:dyDescent="0.2">
      <c r="B395" s="13" t="s">
        <v>77</v>
      </c>
      <c r="C395" s="10">
        <v>47376</v>
      </c>
      <c r="D395" s="9" t="s">
        <v>130</v>
      </c>
      <c r="E395" s="11" t="str">
        <f>IF(tb_investimentos[[#This Row],[TIPO MOVIMENTAÇÃO]]="Aporte",_xlfn.XLOOKUP(tb_investimentos[[#This Row],[DESCRIÇÃO]],'INFO AÇÕES'!E:E,'INFO AÇÕES'!I:I),"BRL")</f>
        <v>BRL</v>
      </c>
      <c r="F395" s="75" t="s">
        <v>83</v>
      </c>
      <c r="G395" s="11">
        <v>1</v>
      </c>
      <c r="H395" s="12">
        <v>400</v>
      </c>
      <c r="I395" s="13" t="s">
        <v>107</v>
      </c>
      <c r="J395" s="51">
        <f t="shared" si="12"/>
        <v>400</v>
      </c>
      <c r="K395" s="13" t="s">
        <v>105</v>
      </c>
      <c r="L395">
        <f>MONTH(tb_investimentos[[#This Row],[DATA]])</f>
        <v>9</v>
      </c>
      <c r="M395">
        <f>YEAR(tb_investimentos[[#This Row],[DATA]])</f>
        <v>2029</v>
      </c>
      <c r="N395">
        <f>DAY(tb_investimentos[[#This Row],[DATA]])</f>
        <v>15</v>
      </c>
      <c r="O395">
        <f t="shared" si="13"/>
        <v>400</v>
      </c>
      <c r="P395">
        <f>tb_investimentos[[#This Row],[PREÇO MÉDIO PONDERADO]]*tb_investimentos[[#This Row],[QUANTIDADE]]</f>
        <v>400</v>
      </c>
      <c r="Q395" s="58" t="str">
        <f ca="1">IFERROR(_xlfn.XLOOKUP(tb_investimentos[[#This Row],[DESCRIÇÃO]],tb_acoes[Símbolo do ticker],tb_acoes[Preço]),"")</f>
        <v/>
      </c>
      <c r="R395" s="58" t="str">
        <f ca="1">IFERROR(tb_investimentos[[#This Row],[QUANTIDADE]]*tb_investimentos[[#This Row],[PREÇO MERCADO]],"")</f>
        <v/>
      </c>
      <c r="S395" s="58" t="str">
        <f ca="1">IFERROR(tb_investimentos[[#This Row],[VALOR TOTAL MERCADO]]-tb_investimentos[[#This Row],[VALOR TOTAL PONDERADO]],"")</f>
        <v/>
      </c>
      <c r="T395" s="58" t="str">
        <f ca="1">IFERROR(_xlfn.XLOOKUP(tb_investimentos[[#This Row],[DESCRIÇÃO]],'INFO AÇÕES'!E:E,'INFO AÇÕES'!H:H),"")</f>
        <v/>
      </c>
      <c r="U395" s="59" t="str">
        <f ca="1">IFERROR((tb_investimentos[[#This Row],[VALOR TOTAL MERCADO]]-tb_investimentos[[#This Row],[VALOR TOTAL PONDERADO]])/tb_investimentos[[#This Row],[VALOR TOTAL PONDERADO]],"")</f>
        <v/>
      </c>
    </row>
    <row r="396" spans="2:21" hidden="1" x14ac:dyDescent="0.2">
      <c r="B396" s="13" t="s">
        <v>77</v>
      </c>
      <c r="C396" s="72">
        <v>47376</v>
      </c>
      <c r="D396" s="9" t="s">
        <v>78</v>
      </c>
      <c r="E396" s="11" t="str">
        <f>IF(tb_investimentos[[#This Row],[TIPO MOVIMENTAÇÃO]]="Aporte",_xlfn.XLOOKUP(tb_investimentos[[#This Row],[DESCRIÇÃO]],'INFO AÇÕES'!E:E,'INFO AÇÕES'!I:I),"BRL")</f>
        <v>BRL</v>
      </c>
      <c r="F396" s="75" t="s">
        <v>102</v>
      </c>
      <c r="G396" s="11">
        <v>1</v>
      </c>
      <c r="H396" s="12">
        <v>39.9</v>
      </c>
      <c r="I396" s="13" t="s">
        <v>107</v>
      </c>
      <c r="J396" s="51">
        <f t="shared" si="12"/>
        <v>39.9</v>
      </c>
      <c r="K396" s="13" t="s">
        <v>105</v>
      </c>
      <c r="L396">
        <f>MONTH(tb_investimentos[[#This Row],[DATA]])</f>
        <v>9</v>
      </c>
      <c r="M396">
        <f>YEAR(tb_investimentos[[#This Row],[DATA]])</f>
        <v>2029</v>
      </c>
      <c r="N396">
        <f>DAY(tb_investimentos[[#This Row],[DATA]])</f>
        <v>15</v>
      </c>
      <c r="O396">
        <f t="shared" si="13"/>
        <v>59.90000000000002</v>
      </c>
      <c r="P396">
        <f>tb_investimentos[[#This Row],[PREÇO MÉDIO PONDERADO]]*tb_investimentos[[#This Row],[QUANTIDADE]]</f>
        <v>59.90000000000002</v>
      </c>
      <c r="Q396" s="58" t="str">
        <f ca="1">IFERROR(_xlfn.XLOOKUP(tb_investimentos[[#This Row],[DESCRIÇÃO]],tb_acoes[Símbolo do ticker],tb_acoes[Preço]),"")</f>
        <v/>
      </c>
      <c r="R396" s="58" t="str">
        <f ca="1">IFERROR(tb_investimentos[[#This Row],[QUANTIDADE]]*tb_investimentos[[#This Row],[PREÇO MERCADO]],"")</f>
        <v/>
      </c>
      <c r="S396" s="58" t="str">
        <f ca="1">IFERROR(tb_investimentos[[#This Row],[VALOR TOTAL MERCADO]]-tb_investimentos[[#This Row],[VALOR TOTAL PONDERADO]],"")</f>
        <v/>
      </c>
      <c r="T396" s="58" t="str">
        <f ca="1">IFERROR(_xlfn.XLOOKUP(tb_investimentos[[#This Row],[DESCRIÇÃO]],'INFO AÇÕES'!E:E,'INFO AÇÕES'!H:H),"")</f>
        <v/>
      </c>
      <c r="U396" s="59" t="str">
        <f ca="1">IFERROR((tb_investimentos[[#This Row],[VALOR TOTAL MERCADO]]-tb_investimentos[[#This Row],[VALOR TOTAL PONDERADO]])/tb_investimentos[[#This Row],[VALOR TOTAL PONDERADO]],"")</f>
        <v/>
      </c>
    </row>
    <row r="397" spans="2:21" hidden="1" x14ac:dyDescent="0.2">
      <c r="B397" s="13" t="s">
        <v>77</v>
      </c>
      <c r="C397" s="72">
        <v>47376</v>
      </c>
      <c r="D397" s="9" t="s">
        <v>78</v>
      </c>
      <c r="E397" s="11" t="str">
        <f>IF(tb_investimentos[[#This Row],[TIPO MOVIMENTAÇÃO]]="Aporte",_xlfn.XLOOKUP(tb_investimentos[[#This Row],[DESCRIÇÃO]],'INFO AÇÕES'!E:E,'INFO AÇÕES'!I:I),"BRL")</f>
        <v>BRL</v>
      </c>
      <c r="F397" s="75" t="s">
        <v>101</v>
      </c>
      <c r="G397" s="11">
        <v>1</v>
      </c>
      <c r="H397" s="12">
        <v>79.900000000000006</v>
      </c>
      <c r="I397" s="13" t="s">
        <v>107</v>
      </c>
      <c r="J397" s="51">
        <f t="shared" si="12"/>
        <v>79.900000000000006</v>
      </c>
      <c r="K397" s="13" t="s">
        <v>105</v>
      </c>
      <c r="L397">
        <f>MONTH(tb_investimentos[[#This Row],[DATA]])</f>
        <v>9</v>
      </c>
      <c r="M397">
        <f>YEAR(tb_investimentos[[#This Row],[DATA]])</f>
        <v>2029</v>
      </c>
      <c r="N397">
        <f>DAY(tb_investimentos[[#This Row],[DATA]])</f>
        <v>15</v>
      </c>
      <c r="O397">
        <f t="shared" si="13"/>
        <v>59.90000000000002</v>
      </c>
      <c r="P397">
        <f>tb_investimentos[[#This Row],[PREÇO MÉDIO PONDERADO]]*tb_investimentos[[#This Row],[QUANTIDADE]]</f>
        <v>59.90000000000002</v>
      </c>
      <c r="Q397" s="58" t="str">
        <f ca="1">IFERROR(_xlfn.XLOOKUP(tb_investimentos[[#This Row],[DESCRIÇÃO]],tb_acoes[Símbolo do ticker],tb_acoes[Preço]),"")</f>
        <v/>
      </c>
      <c r="R397" s="58" t="str">
        <f ca="1">IFERROR(tb_investimentos[[#This Row],[QUANTIDADE]]*tb_investimentos[[#This Row],[PREÇO MERCADO]],"")</f>
        <v/>
      </c>
      <c r="S397" s="58" t="str">
        <f ca="1">IFERROR(tb_investimentos[[#This Row],[VALOR TOTAL MERCADO]]-tb_investimentos[[#This Row],[VALOR TOTAL PONDERADO]],"")</f>
        <v/>
      </c>
      <c r="T397" s="58" t="str">
        <f ca="1">IFERROR(_xlfn.XLOOKUP(tb_investimentos[[#This Row],[DESCRIÇÃO]],'INFO AÇÕES'!E:E,'INFO AÇÕES'!H:H),"")</f>
        <v/>
      </c>
      <c r="U397" s="59" t="str">
        <f ca="1">IFERROR((tb_investimentos[[#This Row],[VALOR TOTAL MERCADO]]-tb_investimentos[[#This Row],[VALOR TOTAL PONDERADO]])/tb_investimentos[[#This Row],[VALOR TOTAL PONDERADO]],"")</f>
        <v/>
      </c>
    </row>
    <row r="398" spans="2:21" hidden="1" x14ac:dyDescent="0.2">
      <c r="B398" s="13" t="s">
        <v>77</v>
      </c>
      <c r="C398" s="72">
        <v>47376</v>
      </c>
      <c r="D398" s="9" t="s">
        <v>79</v>
      </c>
      <c r="E398" s="11" t="str">
        <f>IF(tb_investimentos[[#This Row],[TIPO MOVIMENTAÇÃO]]="Aporte",_xlfn.XLOOKUP(tb_investimentos[[#This Row],[DESCRIÇÃO]],'INFO AÇÕES'!E:E,'INFO AÇÕES'!I:I),"BRL")</f>
        <v>BRL</v>
      </c>
      <c r="F398" s="75" t="s">
        <v>100</v>
      </c>
      <c r="G398" s="11">
        <v>1</v>
      </c>
      <c r="H398" s="12">
        <v>110</v>
      </c>
      <c r="I398" s="13" t="s">
        <v>107</v>
      </c>
      <c r="J398" s="51">
        <f t="shared" si="12"/>
        <v>110</v>
      </c>
      <c r="K398" s="13" t="s">
        <v>105</v>
      </c>
      <c r="L398">
        <f>MONTH(tb_investimentos[[#This Row],[DATA]])</f>
        <v>9</v>
      </c>
      <c r="M398">
        <f>YEAR(tb_investimentos[[#This Row],[DATA]])</f>
        <v>2029</v>
      </c>
      <c r="N398">
        <f>DAY(tb_investimentos[[#This Row],[DATA]])</f>
        <v>15</v>
      </c>
      <c r="O398">
        <f t="shared" si="13"/>
        <v>110</v>
      </c>
      <c r="P398">
        <f>tb_investimentos[[#This Row],[PREÇO MÉDIO PONDERADO]]*tb_investimentos[[#This Row],[QUANTIDADE]]</f>
        <v>110</v>
      </c>
      <c r="Q398" s="58" t="str">
        <f ca="1">IFERROR(_xlfn.XLOOKUP(tb_investimentos[[#This Row],[DESCRIÇÃO]],tb_acoes[Símbolo do ticker],tb_acoes[Preço]),"")</f>
        <v/>
      </c>
      <c r="R398" s="58" t="str">
        <f ca="1">IFERROR(tb_investimentos[[#This Row],[QUANTIDADE]]*tb_investimentos[[#This Row],[PREÇO MERCADO]],"")</f>
        <v/>
      </c>
      <c r="S398" s="58" t="str">
        <f ca="1">IFERROR(tb_investimentos[[#This Row],[VALOR TOTAL MERCADO]]-tb_investimentos[[#This Row],[VALOR TOTAL PONDERADO]],"")</f>
        <v/>
      </c>
      <c r="T398" s="58" t="str">
        <f ca="1">IFERROR(_xlfn.XLOOKUP(tb_investimentos[[#This Row],[DESCRIÇÃO]],'INFO AÇÕES'!E:E,'INFO AÇÕES'!H:H),"")</f>
        <v/>
      </c>
      <c r="U398" s="59" t="str">
        <f ca="1">IFERROR((tb_investimentos[[#This Row],[VALOR TOTAL MERCADO]]-tb_investimentos[[#This Row],[VALOR TOTAL PONDERADO]])/tb_investimentos[[#This Row],[VALOR TOTAL PONDERADO]],"")</f>
        <v/>
      </c>
    </row>
    <row r="399" spans="2:21" hidden="1" x14ac:dyDescent="0.2">
      <c r="B399" s="13" t="s">
        <v>77</v>
      </c>
      <c r="C399" s="72">
        <v>47376</v>
      </c>
      <c r="D399" s="9" t="s">
        <v>80</v>
      </c>
      <c r="E399" s="11" t="str">
        <f>IF(tb_investimentos[[#This Row],[TIPO MOVIMENTAÇÃO]]="Aporte",_xlfn.XLOOKUP(tb_investimentos[[#This Row],[DESCRIÇÃO]],'INFO AÇÕES'!E:E,'INFO AÇÕES'!I:I),"BRL")</f>
        <v>BRL</v>
      </c>
      <c r="F399" s="75" t="s">
        <v>99</v>
      </c>
      <c r="G399" s="11">
        <v>1</v>
      </c>
      <c r="H399" s="12">
        <v>25</v>
      </c>
      <c r="I399" s="13" t="s">
        <v>107</v>
      </c>
      <c r="J399" s="51">
        <f t="shared" si="12"/>
        <v>25</v>
      </c>
      <c r="K399" s="13" t="s">
        <v>105</v>
      </c>
      <c r="L399">
        <f>MONTH(tb_investimentos[[#This Row],[DATA]])</f>
        <v>9</v>
      </c>
      <c r="M399">
        <f>YEAR(tb_investimentos[[#This Row],[DATA]])</f>
        <v>2029</v>
      </c>
      <c r="N399">
        <f>DAY(tb_investimentos[[#This Row],[DATA]])</f>
        <v>15</v>
      </c>
      <c r="O399">
        <f t="shared" si="13"/>
        <v>25</v>
      </c>
      <c r="P399">
        <f>tb_investimentos[[#This Row],[PREÇO MÉDIO PONDERADO]]*tb_investimentos[[#This Row],[QUANTIDADE]]</f>
        <v>25</v>
      </c>
      <c r="Q399" s="58" t="str">
        <f ca="1">IFERROR(_xlfn.XLOOKUP(tb_investimentos[[#This Row],[DESCRIÇÃO]],tb_acoes[Símbolo do ticker],tb_acoes[Preço]),"")</f>
        <v/>
      </c>
      <c r="R399" s="58" t="str">
        <f ca="1">IFERROR(tb_investimentos[[#This Row],[QUANTIDADE]]*tb_investimentos[[#This Row],[PREÇO MERCADO]],"")</f>
        <v/>
      </c>
      <c r="S399" s="58" t="str">
        <f ca="1">IFERROR(tb_investimentos[[#This Row],[VALOR TOTAL MERCADO]]-tb_investimentos[[#This Row],[VALOR TOTAL PONDERADO]],"")</f>
        <v/>
      </c>
      <c r="T399" s="58" t="str">
        <f ca="1">IFERROR(_xlfn.XLOOKUP(tb_investimentos[[#This Row],[DESCRIÇÃO]],'INFO AÇÕES'!E:E,'INFO AÇÕES'!H:H),"")</f>
        <v/>
      </c>
      <c r="U399" s="59" t="str">
        <f ca="1">IFERROR((tb_investimentos[[#This Row],[VALOR TOTAL MERCADO]]-tb_investimentos[[#This Row],[VALOR TOTAL PONDERADO]])/tb_investimentos[[#This Row],[VALOR TOTAL PONDERADO]],"")</f>
        <v/>
      </c>
    </row>
    <row r="400" spans="2:21" hidden="1" x14ac:dyDescent="0.2">
      <c r="B400" s="13" t="s">
        <v>72</v>
      </c>
      <c r="C400" s="72">
        <v>47396</v>
      </c>
      <c r="D400" s="9" t="s">
        <v>76</v>
      </c>
      <c r="E400" s="11" t="str">
        <f>IF(tb_investimentos[[#This Row],[TIPO MOVIMENTAÇÃO]]="Aporte",_xlfn.XLOOKUP(tb_investimentos[[#This Row],[DESCRIÇÃO]],'INFO AÇÕES'!E:E,'INFO AÇÕES'!I:I),"BRL")</f>
        <v>BRL</v>
      </c>
      <c r="F400" s="75" t="s">
        <v>73</v>
      </c>
      <c r="G400" s="11">
        <v>1</v>
      </c>
      <c r="H400" s="12">
        <v>8000</v>
      </c>
      <c r="I400" s="13" t="s">
        <v>107</v>
      </c>
      <c r="J400" s="51">
        <f t="shared" si="12"/>
        <v>8000</v>
      </c>
      <c r="K400" s="13" t="s">
        <v>105</v>
      </c>
      <c r="L400">
        <f>MONTH(tb_investimentos[[#This Row],[DATA]])</f>
        <v>10</v>
      </c>
      <c r="M400">
        <f>YEAR(tb_investimentos[[#This Row],[DATA]])</f>
        <v>2029</v>
      </c>
      <c r="N400">
        <f>DAY(tb_investimentos[[#This Row],[DATA]])</f>
        <v>5</v>
      </c>
      <c r="O400">
        <f t="shared" si="13"/>
        <v>7801.7948717948721</v>
      </c>
      <c r="P400">
        <f>tb_investimentos[[#This Row],[PREÇO MÉDIO PONDERADO]]*tb_investimentos[[#This Row],[QUANTIDADE]]</f>
        <v>7801.7948717948721</v>
      </c>
      <c r="Q400" s="58" t="str">
        <f ca="1">IFERROR(_xlfn.XLOOKUP(tb_investimentos[[#This Row],[DESCRIÇÃO]],tb_acoes[Símbolo do ticker],tb_acoes[Preço]),"")</f>
        <v/>
      </c>
      <c r="R400" s="58" t="str">
        <f ca="1">IFERROR(tb_investimentos[[#This Row],[QUANTIDADE]]*tb_investimentos[[#This Row],[PREÇO MERCADO]],"")</f>
        <v/>
      </c>
      <c r="S400" s="58" t="str">
        <f ca="1">IFERROR(tb_investimentos[[#This Row],[VALOR TOTAL MERCADO]]-tb_investimentos[[#This Row],[VALOR TOTAL PONDERADO]],"")</f>
        <v/>
      </c>
      <c r="T400" s="58" t="str">
        <f ca="1">IFERROR(_xlfn.XLOOKUP(tb_investimentos[[#This Row],[DESCRIÇÃO]],'INFO AÇÕES'!E:E,'INFO AÇÕES'!H:H),"")</f>
        <v/>
      </c>
      <c r="U400" s="59" t="str">
        <f ca="1">IFERROR((tb_investimentos[[#This Row],[VALOR TOTAL MERCADO]]-tb_investimentos[[#This Row],[VALOR TOTAL PONDERADO]])/tb_investimentos[[#This Row],[VALOR TOTAL PONDERADO]],"")</f>
        <v/>
      </c>
    </row>
    <row r="401" spans="2:21" hidden="1" x14ac:dyDescent="0.2">
      <c r="B401" s="13" t="s">
        <v>39</v>
      </c>
      <c r="C401" s="10">
        <v>47396</v>
      </c>
      <c r="D401" s="9"/>
      <c r="E401" s="11">
        <f ca="1">IF(tb_investimentos[[#This Row],[TIPO MOVIMENTAÇÃO]]="Aporte",_xlfn.XLOOKUP(tb_investimentos[[#This Row],[DESCRIÇÃO]],'INFO AÇÕES'!E:E,'INFO AÇÕES'!I:I),"BRL")</f>
        <v>0</v>
      </c>
      <c r="F401" s="73" t="s">
        <v>10</v>
      </c>
      <c r="G401" s="11">
        <v>1</v>
      </c>
      <c r="H401" s="12">
        <v>3000</v>
      </c>
      <c r="I401" s="13" t="s">
        <v>58</v>
      </c>
      <c r="J401" s="51">
        <f t="shared" si="12"/>
        <v>3000</v>
      </c>
      <c r="K401" s="11" t="s">
        <v>105</v>
      </c>
      <c r="L401">
        <f>MONTH(tb_investimentos[[#This Row],[DATA]])</f>
        <v>10</v>
      </c>
      <c r="M401">
        <f>YEAR(tb_investimentos[[#This Row],[DATA]])</f>
        <v>2029</v>
      </c>
      <c r="N401">
        <f>DAY(tb_investimentos[[#This Row],[DATA]])</f>
        <v>5</v>
      </c>
      <c r="O401" t="e">
        <f t="shared" si="13"/>
        <v>#DIV/0!</v>
      </c>
      <c r="P401" t="e">
        <f>tb_investimentos[[#This Row],[PREÇO MÉDIO PONDERADO]]*tb_investimentos[[#This Row],[QUANTIDADE]]</f>
        <v>#DIV/0!</v>
      </c>
      <c r="Q401" s="58" t="str">
        <f ca="1">IFERROR(_xlfn.XLOOKUP(tb_investimentos[[#This Row],[DESCRIÇÃO]],tb_acoes[Símbolo do ticker],tb_acoes[Preço]),"")</f>
        <v/>
      </c>
      <c r="R401" s="58" t="str">
        <f ca="1">IFERROR(tb_investimentos[[#This Row],[QUANTIDADE]]*tb_investimentos[[#This Row],[PREÇO MERCADO]],"")</f>
        <v/>
      </c>
      <c r="S401" s="58" t="str">
        <f ca="1">IFERROR(tb_investimentos[[#This Row],[VALOR TOTAL MERCADO]]-tb_investimentos[[#This Row],[VALOR TOTAL PONDERADO]],"")</f>
        <v/>
      </c>
      <c r="T401" s="58">
        <f ca="1">IFERROR(_xlfn.XLOOKUP(tb_investimentos[[#This Row],[DESCRIÇÃO]],'INFO AÇÕES'!E:E,'INFO AÇÕES'!H:H),"")</f>
        <v>0</v>
      </c>
      <c r="U401" s="59" t="str">
        <f ca="1">IFERROR((tb_investimentos[[#This Row],[VALOR TOTAL MERCADO]]-tb_investimentos[[#This Row],[VALOR TOTAL PONDERADO]])/tb_investimentos[[#This Row],[VALOR TOTAL PONDERADO]],"")</f>
        <v/>
      </c>
    </row>
    <row r="402" spans="2:21" hidden="1" x14ac:dyDescent="0.2">
      <c r="B402" s="13" t="s">
        <v>77</v>
      </c>
      <c r="C402" s="10">
        <v>47406</v>
      </c>
      <c r="D402" s="9" t="s">
        <v>88</v>
      </c>
      <c r="E402" s="11" t="str">
        <f>IF(tb_investimentos[[#This Row],[TIPO MOVIMENTAÇÃO]]="Aporte",_xlfn.XLOOKUP(tb_investimentos[[#This Row],[DESCRIÇÃO]],'INFO AÇÕES'!E:E,'INFO AÇÕES'!I:I),"BRL")</f>
        <v>BRL</v>
      </c>
      <c r="F402" s="75" t="s">
        <v>131</v>
      </c>
      <c r="G402" s="11">
        <v>1</v>
      </c>
      <c r="H402" s="12">
        <v>2192.1283400000002</v>
      </c>
      <c r="I402" s="13" t="s">
        <v>107</v>
      </c>
      <c r="J402" s="51">
        <f t="shared" si="12"/>
        <v>2192.1283400000002</v>
      </c>
      <c r="K402" s="13" t="s">
        <v>105</v>
      </c>
      <c r="L402">
        <f>MONTH(tb_investimentos[[#This Row],[DATA]])</f>
        <v>10</v>
      </c>
      <c r="M402">
        <f>YEAR(tb_investimentos[[#This Row],[DATA]])</f>
        <v>2029</v>
      </c>
      <c r="N402">
        <f>DAY(tb_investimentos[[#This Row],[DATA]])</f>
        <v>15</v>
      </c>
      <c r="O402">
        <f t="shared" si="13"/>
        <v>1629.9930261538464</v>
      </c>
      <c r="P402">
        <f>tb_investimentos[[#This Row],[PREÇO MÉDIO PONDERADO]]*tb_investimentos[[#This Row],[QUANTIDADE]]</f>
        <v>1629.9930261538464</v>
      </c>
      <c r="Q402" s="58" t="str">
        <f ca="1">IFERROR(_xlfn.XLOOKUP(tb_investimentos[[#This Row],[DESCRIÇÃO]],tb_acoes[Símbolo do ticker],tb_acoes[Preço]),"")</f>
        <v/>
      </c>
      <c r="R402" s="58" t="str">
        <f ca="1">IFERROR(tb_investimentos[[#This Row],[QUANTIDADE]]*tb_investimentos[[#This Row],[PREÇO MERCADO]],"")</f>
        <v/>
      </c>
      <c r="S402" s="58" t="str">
        <f ca="1">IFERROR(tb_investimentos[[#This Row],[VALOR TOTAL MERCADO]]-tb_investimentos[[#This Row],[VALOR TOTAL PONDERADO]],"")</f>
        <v/>
      </c>
      <c r="T402" s="58" t="str">
        <f ca="1">IFERROR(_xlfn.XLOOKUP(tb_investimentos[[#This Row],[DESCRIÇÃO]],'INFO AÇÕES'!E:E,'INFO AÇÕES'!H:H),"")</f>
        <v/>
      </c>
      <c r="U402" s="59" t="str">
        <f ca="1">IFERROR((tb_investimentos[[#This Row],[VALOR TOTAL MERCADO]]-tb_investimentos[[#This Row],[VALOR TOTAL PONDERADO]])/tb_investimentos[[#This Row],[VALOR TOTAL PONDERADO]],"")</f>
        <v/>
      </c>
    </row>
    <row r="403" spans="2:21" hidden="1" x14ac:dyDescent="0.2">
      <c r="B403" s="13" t="s">
        <v>77</v>
      </c>
      <c r="C403" s="10">
        <v>47406</v>
      </c>
      <c r="D403" s="9" t="s">
        <v>130</v>
      </c>
      <c r="E403" s="11" t="str">
        <f>IF(tb_investimentos[[#This Row],[TIPO MOVIMENTAÇÃO]]="Aporte",_xlfn.XLOOKUP(tb_investimentos[[#This Row],[DESCRIÇÃO]],'INFO AÇÕES'!E:E,'INFO AÇÕES'!I:I),"BRL")</f>
        <v>BRL</v>
      </c>
      <c r="F403" s="75" t="s">
        <v>83</v>
      </c>
      <c r="G403" s="11">
        <v>1</v>
      </c>
      <c r="H403" s="12">
        <v>400</v>
      </c>
      <c r="I403" s="13" t="s">
        <v>107</v>
      </c>
      <c r="J403" s="51">
        <f t="shared" si="12"/>
        <v>400</v>
      </c>
      <c r="K403" s="13" t="s">
        <v>105</v>
      </c>
      <c r="L403">
        <f>MONTH(tb_investimentos[[#This Row],[DATA]])</f>
        <v>10</v>
      </c>
      <c r="M403">
        <f>YEAR(tb_investimentos[[#This Row],[DATA]])</f>
        <v>2029</v>
      </c>
      <c r="N403">
        <f>DAY(tb_investimentos[[#This Row],[DATA]])</f>
        <v>15</v>
      </c>
      <c r="O403">
        <f t="shared" si="13"/>
        <v>400</v>
      </c>
      <c r="P403">
        <f>tb_investimentos[[#This Row],[PREÇO MÉDIO PONDERADO]]*tb_investimentos[[#This Row],[QUANTIDADE]]</f>
        <v>400</v>
      </c>
      <c r="Q403" s="58" t="str">
        <f ca="1">IFERROR(_xlfn.XLOOKUP(tb_investimentos[[#This Row],[DESCRIÇÃO]],tb_acoes[Símbolo do ticker],tb_acoes[Preço]),"")</f>
        <v/>
      </c>
      <c r="R403" s="58" t="str">
        <f ca="1">IFERROR(tb_investimentos[[#This Row],[QUANTIDADE]]*tb_investimentos[[#This Row],[PREÇO MERCADO]],"")</f>
        <v/>
      </c>
      <c r="S403" s="58" t="str">
        <f ca="1">IFERROR(tb_investimentos[[#This Row],[VALOR TOTAL MERCADO]]-tb_investimentos[[#This Row],[VALOR TOTAL PONDERADO]],"")</f>
        <v/>
      </c>
      <c r="T403" s="58" t="str">
        <f ca="1">IFERROR(_xlfn.XLOOKUP(tb_investimentos[[#This Row],[DESCRIÇÃO]],'INFO AÇÕES'!E:E,'INFO AÇÕES'!H:H),"")</f>
        <v/>
      </c>
      <c r="U403" s="59" t="str">
        <f ca="1">IFERROR((tb_investimentos[[#This Row],[VALOR TOTAL MERCADO]]-tb_investimentos[[#This Row],[VALOR TOTAL PONDERADO]])/tb_investimentos[[#This Row],[VALOR TOTAL PONDERADO]],"")</f>
        <v/>
      </c>
    </row>
    <row r="404" spans="2:21" hidden="1" x14ac:dyDescent="0.2">
      <c r="B404" s="13" t="s">
        <v>77</v>
      </c>
      <c r="C404" s="72">
        <v>47406</v>
      </c>
      <c r="D404" s="9" t="s">
        <v>78</v>
      </c>
      <c r="E404" s="11" t="str">
        <f>IF(tb_investimentos[[#This Row],[TIPO MOVIMENTAÇÃO]]="Aporte",_xlfn.XLOOKUP(tb_investimentos[[#This Row],[DESCRIÇÃO]],'INFO AÇÕES'!E:E,'INFO AÇÕES'!I:I),"BRL")</f>
        <v>BRL</v>
      </c>
      <c r="F404" s="75" t="s">
        <v>102</v>
      </c>
      <c r="G404" s="11">
        <v>1</v>
      </c>
      <c r="H404" s="12">
        <v>39.9</v>
      </c>
      <c r="I404" s="13" t="s">
        <v>107</v>
      </c>
      <c r="J404" s="51">
        <f t="shared" si="12"/>
        <v>39.9</v>
      </c>
      <c r="K404" s="13" t="s">
        <v>105</v>
      </c>
      <c r="L404">
        <f>MONTH(tb_investimentos[[#This Row],[DATA]])</f>
        <v>10</v>
      </c>
      <c r="M404">
        <f>YEAR(tb_investimentos[[#This Row],[DATA]])</f>
        <v>2029</v>
      </c>
      <c r="N404">
        <f>DAY(tb_investimentos[[#This Row],[DATA]])</f>
        <v>15</v>
      </c>
      <c r="O404">
        <f t="shared" si="13"/>
        <v>59.90000000000002</v>
      </c>
      <c r="P404">
        <f>tb_investimentos[[#This Row],[PREÇO MÉDIO PONDERADO]]*tb_investimentos[[#This Row],[QUANTIDADE]]</f>
        <v>59.90000000000002</v>
      </c>
      <c r="Q404" s="58" t="str">
        <f ca="1">IFERROR(_xlfn.XLOOKUP(tb_investimentos[[#This Row],[DESCRIÇÃO]],tb_acoes[Símbolo do ticker],tb_acoes[Preço]),"")</f>
        <v/>
      </c>
      <c r="R404" s="58" t="str">
        <f ca="1">IFERROR(tb_investimentos[[#This Row],[QUANTIDADE]]*tb_investimentos[[#This Row],[PREÇO MERCADO]],"")</f>
        <v/>
      </c>
      <c r="S404" s="58" t="str">
        <f ca="1">IFERROR(tb_investimentos[[#This Row],[VALOR TOTAL MERCADO]]-tb_investimentos[[#This Row],[VALOR TOTAL PONDERADO]],"")</f>
        <v/>
      </c>
      <c r="T404" s="58" t="str">
        <f ca="1">IFERROR(_xlfn.XLOOKUP(tb_investimentos[[#This Row],[DESCRIÇÃO]],'INFO AÇÕES'!E:E,'INFO AÇÕES'!H:H),"")</f>
        <v/>
      </c>
      <c r="U404" s="59" t="str">
        <f ca="1">IFERROR((tb_investimentos[[#This Row],[VALOR TOTAL MERCADO]]-tb_investimentos[[#This Row],[VALOR TOTAL PONDERADO]])/tb_investimentos[[#This Row],[VALOR TOTAL PONDERADO]],"")</f>
        <v/>
      </c>
    </row>
    <row r="405" spans="2:21" hidden="1" x14ac:dyDescent="0.2">
      <c r="B405" s="13" t="s">
        <v>77</v>
      </c>
      <c r="C405" s="72">
        <v>47406</v>
      </c>
      <c r="D405" s="9" t="s">
        <v>78</v>
      </c>
      <c r="E405" s="11" t="str">
        <f>IF(tb_investimentos[[#This Row],[TIPO MOVIMENTAÇÃO]]="Aporte",_xlfn.XLOOKUP(tb_investimentos[[#This Row],[DESCRIÇÃO]],'INFO AÇÕES'!E:E,'INFO AÇÕES'!I:I),"BRL")</f>
        <v>BRL</v>
      </c>
      <c r="F405" s="75" t="s">
        <v>101</v>
      </c>
      <c r="G405" s="11">
        <v>1</v>
      </c>
      <c r="H405" s="12">
        <v>79.900000000000006</v>
      </c>
      <c r="I405" s="13" t="s">
        <v>107</v>
      </c>
      <c r="J405" s="51">
        <f t="shared" si="12"/>
        <v>79.900000000000006</v>
      </c>
      <c r="K405" s="13" t="s">
        <v>105</v>
      </c>
      <c r="L405">
        <f>MONTH(tb_investimentos[[#This Row],[DATA]])</f>
        <v>10</v>
      </c>
      <c r="M405">
        <f>YEAR(tb_investimentos[[#This Row],[DATA]])</f>
        <v>2029</v>
      </c>
      <c r="N405">
        <f>DAY(tb_investimentos[[#This Row],[DATA]])</f>
        <v>15</v>
      </c>
      <c r="O405">
        <f t="shared" si="13"/>
        <v>59.90000000000002</v>
      </c>
      <c r="P405">
        <f>tb_investimentos[[#This Row],[PREÇO MÉDIO PONDERADO]]*tb_investimentos[[#This Row],[QUANTIDADE]]</f>
        <v>59.90000000000002</v>
      </c>
      <c r="Q405" s="58" t="str">
        <f ca="1">IFERROR(_xlfn.XLOOKUP(tb_investimentos[[#This Row],[DESCRIÇÃO]],tb_acoes[Símbolo do ticker],tb_acoes[Preço]),"")</f>
        <v/>
      </c>
      <c r="R405" s="58" t="str">
        <f ca="1">IFERROR(tb_investimentos[[#This Row],[QUANTIDADE]]*tb_investimentos[[#This Row],[PREÇO MERCADO]],"")</f>
        <v/>
      </c>
      <c r="S405" s="58" t="str">
        <f ca="1">IFERROR(tb_investimentos[[#This Row],[VALOR TOTAL MERCADO]]-tb_investimentos[[#This Row],[VALOR TOTAL PONDERADO]],"")</f>
        <v/>
      </c>
      <c r="T405" s="58" t="str">
        <f ca="1">IFERROR(_xlfn.XLOOKUP(tb_investimentos[[#This Row],[DESCRIÇÃO]],'INFO AÇÕES'!E:E,'INFO AÇÕES'!H:H),"")</f>
        <v/>
      </c>
      <c r="U405" s="59" t="str">
        <f ca="1">IFERROR((tb_investimentos[[#This Row],[VALOR TOTAL MERCADO]]-tb_investimentos[[#This Row],[VALOR TOTAL PONDERADO]])/tb_investimentos[[#This Row],[VALOR TOTAL PONDERADO]],"")</f>
        <v/>
      </c>
    </row>
    <row r="406" spans="2:21" hidden="1" x14ac:dyDescent="0.2">
      <c r="B406" s="13" t="s">
        <v>77</v>
      </c>
      <c r="C406" s="72">
        <v>47406</v>
      </c>
      <c r="D406" s="9" t="s">
        <v>79</v>
      </c>
      <c r="E406" s="11" t="str">
        <f>IF(tb_investimentos[[#This Row],[TIPO MOVIMENTAÇÃO]]="Aporte",_xlfn.XLOOKUP(tb_investimentos[[#This Row],[DESCRIÇÃO]],'INFO AÇÕES'!E:E,'INFO AÇÕES'!I:I),"BRL")</f>
        <v>BRL</v>
      </c>
      <c r="F406" s="75" t="s">
        <v>100</v>
      </c>
      <c r="G406" s="11">
        <v>1</v>
      </c>
      <c r="H406" s="12">
        <v>110</v>
      </c>
      <c r="I406" s="13" t="s">
        <v>107</v>
      </c>
      <c r="J406" s="51">
        <f t="shared" si="12"/>
        <v>110</v>
      </c>
      <c r="K406" s="13" t="s">
        <v>105</v>
      </c>
      <c r="L406">
        <f>MONTH(tb_investimentos[[#This Row],[DATA]])</f>
        <v>10</v>
      </c>
      <c r="M406">
        <f>YEAR(tb_investimentos[[#This Row],[DATA]])</f>
        <v>2029</v>
      </c>
      <c r="N406">
        <f>DAY(tb_investimentos[[#This Row],[DATA]])</f>
        <v>15</v>
      </c>
      <c r="O406">
        <f t="shared" si="13"/>
        <v>110</v>
      </c>
      <c r="P406">
        <f>tb_investimentos[[#This Row],[PREÇO MÉDIO PONDERADO]]*tb_investimentos[[#This Row],[QUANTIDADE]]</f>
        <v>110</v>
      </c>
      <c r="Q406" s="58" t="str">
        <f ca="1">IFERROR(_xlfn.XLOOKUP(tb_investimentos[[#This Row],[DESCRIÇÃO]],tb_acoes[Símbolo do ticker],tb_acoes[Preço]),"")</f>
        <v/>
      </c>
      <c r="R406" s="58" t="str">
        <f ca="1">IFERROR(tb_investimentos[[#This Row],[QUANTIDADE]]*tb_investimentos[[#This Row],[PREÇO MERCADO]],"")</f>
        <v/>
      </c>
      <c r="S406" s="58" t="str">
        <f ca="1">IFERROR(tb_investimentos[[#This Row],[VALOR TOTAL MERCADO]]-tb_investimentos[[#This Row],[VALOR TOTAL PONDERADO]],"")</f>
        <v/>
      </c>
      <c r="T406" s="58" t="str">
        <f ca="1">IFERROR(_xlfn.XLOOKUP(tb_investimentos[[#This Row],[DESCRIÇÃO]],'INFO AÇÕES'!E:E,'INFO AÇÕES'!H:H),"")</f>
        <v/>
      </c>
      <c r="U406" s="59" t="str">
        <f ca="1">IFERROR((tb_investimentos[[#This Row],[VALOR TOTAL MERCADO]]-tb_investimentos[[#This Row],[VALOR TOTAL PONDERADO]])/tb_investimentos[[#This Row],[VALOR TOTAL PONDERADO]],"")</f>
        <v/>
      </c>
    </row>
    <row r="407" spans="2:21" hidden="1" x14ac:dyDescent="0.2">
      <c r="B407" s="13" t="s">
        <v>77</v>
      </c>
      <c r="C407" s="72">
        <v>47406</v>
      </c>
      <c r="D407" s="9" t="s">
        <v>80</v>
      </c>
      <c r="E407" s="11" t="str">
        <f>IF(tb_investimentos[[#This Row],[TIPO MOVIMENTAÇÃO]]="Aporte",_xlfn.XLOOKUP(tb_investimentos[[#This Row],[DESCRIÇÃO]],'INFO AÇÕES'!E:E,'INFO AÇÕES'!I:I),"BRL")</f>
        <v>BRL</v>
      </c>
      <c r="F407" s="75" t="s">
        <v>99</v>
      </c>
      <c r="G407" s="11">
        <v>1</v>
      </c>
      <c r="H407" s="12">
        <v>25</v>
      </c>
      <c r="I407" s="13" t="s">
        <v>107</v>
      </c>
      <c r="J407" s="51">
        <f t="shared" si="12"/>
        <v>25</v>
      </c>
      <c r="K407" s="13" t="s">
        <v>105</v>
      </c>
      <c r="L407">
        <f>MONTH(tb_investimentos[[#This Row],[DATA]])</f>
        <v>10</v>
      </c>
      <c r="M407">
        <f>YEAR(tb_investimentos[[#This Row],[DATA]])</f>
        <v>2029</v>
      </c>
      <c r="N407">
        <f>DAY(tb_investimentos[[#This Row],[DATA]])</f>
        <v>15</v>
      </c>
      <c r="O407">
        <f t="shared" si="13"/>
        <v>25</v>
      </c>
      <c r="P407">
        <f>tb_investimentos[[#This Row],[PREÇO MÉDIO PONDERADO]]*tb_investimentos[[#This Row],[QUANTIDADE]]</f>
        <v>25</v>
      </c>
      <c r="Q407" s="58" t="str">
        <f ca="1">IFERROR(_xlfn.XLOOKUP(tb_investimentos[[#This Row],[DESCRIÇÃO]],tb_acoes[Símbolo do ticker],tb_acoes[Preço]),"")</f>
        <v/>
      </c>
      <c r="R407" s="58" t="str">
        <f ca="1">IFERROR(tb_investimentos[[#This Row],[QUANTIDADE]]*tb_investimentos[[#This Row],[PREÇO MERCADO]],"")</f>
        <v/>
      </c>
      <c r="S407" s="58" t="str">
        <f ca="1">IFERROR(tb_investimentos[[#This Row],[VALOR TOTAL MERCADO]]-tb_investimentos[[#This Row],[VALOR TOTAL PONDERADO]],"")</f>
        <v/>
      </c>
      <c r="T407" s="58" t="str">
        <f ca="1">IFERROR(_xlfn.XLOOKUP(tb_investimentos[[#This Row],[DESCRIÇÃO]],'INFO AÇÕES'!E:E,'INFO AÇÕES'!H:H),"")</f>
        <v/>
      </c>
      <c r="U407" s="59" t="str">
        <f ca="1">IFERROR((tb_investimentos[[#This Row],[VALOR TOTAL MERCADO]]-tb_investimentos[[#This Row],[VALOR TOTAL PONDERADO]])/tb_investimentos[[#This Row],[VALOR TOTAL PONDERADO]],"")</f>
        <v/>
      </c>
    </row>
    <row r="408" spans="2:21" hidden="1" x14ac:dyDescent="0.2">
      <c r="B408" s="13" t="s">
        <v>72</v>
      </c>
      <c r="C408" s="72">
        <v>47427</v>
      </c>
      <c r="D408" s="9" t="s">
        <v>76</v>
      </c>
      <c r="E408" s="11" t="str">
        <f>IF(tb_investimentos[[#This Row],[TIPO MOVIMENTAÇÃO]]="Aporte",_xlfn.XLOOKUP(tb_investimentos[[#This Row],[DESCRIÇÃO]],'INFO AÇÕES'!E:E,'INFO AÇÕES'!I:I),"BRL")</f>
        <v>BRL</v>
      </c>
      <c r="F408" s="75" t="s">
        <v>73</v>
      </c>
      <c r="G408" s="11">
        <v>1</v>
      </c>
      <c r="H408" s="12">
        <v>8000</v>
      </c>
      <c r="I408" s="13" t="s">
        <v>107</v>
      </c>
      <c r="J408" s="51">
        <f t="shared" si="12"/>
        <v>8000</v>
      </c>
      <c r="K408" s="13" t="s">
        <v>105</v>
      </c>
      <c r="L408">
        <f>MONTH(tb_investimentos[[#This Row],[DATA]])</f>
        <v>11</v>
      </c>
      <c r="M408">
        <f>YEAR(tb_investimentos[[#This Row],[DATA]])</f>
        <v>2029</v>
      </c>
      <c r="N408">
        <f>DAY(tb_investimentos[[#This Row],[DATA]])</f>
        <v>5</v>
      </c>
      <c r="O408">
        <f t="shared" si="13"/>
        <v>7801.7948717948721</v>
      </c>
      <c r="P408">
        <f>tb_investimentos[[#This Row],[PREÇO MÉDIO PONDERADO]]*tb_investimentos[[#This Row],[QUANTIDADE]]</f>
        <v>7801.7948717948721</v>
      </c>
      <c r="Q408" s="58" t="str">
        <f ca="1">IFERROR(_xlfn.XLOOKUP(tb_investimentos[[#This Row],[DESCRIÇÃO]],tb_acoes[Símbolo do ticker],tb_acoes[Preço]),"")</f>
        <v/>
      </c>
      <c r="R408" s="58" t="str">
        <f ca="1">IFERROR(tb_investimentos[[#This Row],[QUANTIDADE]]*tb_investimentos[[#This Row],[PREÇO MERCADO]],"")</f>
        <v/>
      </c>
      <c r="S408" s="58" t="str">
        <f ca="1">IFERROR(tb_investimentos[[#This Row],[VALOR TOTAL MERCADO]]-tb_investimentos[[#This Row],[VALOR TOTAL PONDERADO]],"")</f>
        <v/>
      </c>
      <c r="T408" s="58" t="str">
        <f ca="1">IFERROR(_xlfn.XLOOKUP(tb_investimentos[[#This Row],[DESCRIÇÃO]],'INFO AÇÕES'!E:E,'INFO AÇÕES'!H:H),"")</f>
        <v/>
      </c>
      <c r="U408" s="59" t="str">
        <f ca="1">IFERROR((tb_investimentos[[#This Row],[VALOR TOTAL MERCADO]]-tb_investimentos[[#This Row],[VALOR TOTAL PONDERADO]])/tb_investimentos[[#This Row],[VALOR TOTAL PONDERADO]],"")</f>
        <v/>
      </c>
    </row>
    <row r="409" spans="2:21" hidden="1" x14ac:dyDescent="0.2">
      <c r="B409" s="13" t="s">
        <v>39</v>
      </c>
      <c r="C409" s="10">
        <v>47427</v>
      </c>
      <c r="D409" s="9"/>
      <c r="E409" s="11">
        <f ca="1">IF(tb_investimentos[[#This Row],[TIPO MOVIMENTAÇÃO]]="Aporte",_xlfn.XLOOKUP(tb_investimentos[[#This Row],[DESCRIÇÃO]],'INFO AÇÕES'!E:E,'INFO AÇÕES'!I:I),"BRL")</f>
        <v>0</v>
      </c>
      <c r="F409" s="73" t="s">
        <v>10</v>
      </c>
      <c r="G409" s="11">
        <v>1</v>
      </c>
      <c r="H409" s="12">
        <v>3000</v>
      </c>
      <c r="I409" s="13" t="s">
        <v>58</v>
      </c>
      <c r="J409" s="51">
        <f t="shared" si="12"/>
        <v>3000</v>
      </c>
      <c r="K409" s="11" t="s">
        <v>105</v>
      </c>
      <c r="L409">
        <f>MONTH(tb_investimentos[[#This Row],[DATA]])</f>
        <v>11</v>
      </c>
      <c r="M409">
        <f>YEAR(tb_investimentos[[#This Row],[DATA]])</f>
        <v>2029</v>
      </c>
      <c r="N409">
        <f>DAY(tb_investimentos[[#This Row],[DATA]])</f>
        <v>5</v>
      </c>
      <c r="O409" t="e">
        <f t="shared" si="13"/>
        <v>#DIV/0!</v>
      </c>
      <c r="P409" t="e">
        <f>tb_investimentos[[#This Row],[PREÇO MÉDIO PONDERADO]]*tb_investimentos[[#This Row],[QUANTIDADE]]</f>
        <v>#DIV/0!</v>
      </c>
      <c r="Q409" s="58" t="str">
        <f ca="1">IFERROR(_xlfn.XLOOKUP(tb_investimentos[[#This Row],[DESCRIÇÃO]],tb_acoes[Símbolo do ticker],tb_acoes[Preço]),"")</f>
        <v/>
      </c>
      <c r="R409" s="58" t="str">
        <f ca="1">IFERROR(tb_investimentos[[#This Row],[QUANTIDADE]]*tb_investimentos[[#This Row],[PREÇO MERCADO]],"")</f>
        <v/>
      </c>
      <c r="S409" s="58" t="str">
        <f ca="1">IFERROR(tb_investimentos[[#This Row],[VALOR TOTAL MERCADO]]-tb_investimentos[[#This Row],[VALOR TOTAL PONDERADO]],"")</f>
        <v/>
      </c>
      <c r="T409" s="58">
        <f ca="1">IFERROR(_xlfn.XLOOKUP(tb_investimentos[[#This Row],[DESCRIÇÃO]],'INFO AÇÕES'!E:E,'INFO AÇÕES'!H:H),"")</f>
        <v>0</v>
      </c>
      <c r="U409" s="59" t="str">
        <f ca="1">IFERROR((tb_investimentos[[#This Row],[VALOR TOTAL MERCADO]]-tb_investimentos[[#This Row],[VALOR TOTAL PONDERADO]])/tb_investimentos[[#This Row],[VALOR TOTAL PONDERADO]],"")</f>
        <v/>
      </c>
    </row>
    <row r="410" spans="2:21" hidden="1" x14ac:dyDescent="0.2">
      <c r="B410" s="13" t="s">
        <v>77</v>
      </c>
      <c r="C410" s="10">
        <v>47437</v>
      </c>
      <c r="D410" s="9" t="s">
        <v>88</v>
      </c>
      <c r="E410" s="11" t="str">
        <f>IF(tb_investimentos[[#This Row],[TIPO MOVIMENTAÇÃO]]="Aporte",_xlfn.XLOOKUP(tb_investimentos[[#This Row],[DESCRIÇÃO]],'INFO AÇÕES'!E:E,'INFO AÇÕES'!I:I),"BRL")</f>
        <v>BRL</v>
      </c>
      <c r="F410" s="75" t="s">
        <v>131</v>
      </c>
      <c r="G410" s="11">
        <v>1</v>
      </c>
      <c r="H410" s="12">
        <v>2192.1179200000001</v>
      </c>
      <c r="I410" s="13" t="s">
        <v>107</v>
      </c>
      <c r="J410" s="51">
        <f t="shared" si="12"/>
        <v>2192.1179200000001</v>
      </c>
      <c r="K410" s="13" t="s">
        <v>105</v>
      </c>
      <c r="L410">
        <f>MONTH(tb_investimentos[[#This Row],[DATA]])</f>
        <v>11</v>
      </c>
      <c r="M410">
        <f>YEAR(tb_investimentos[[#This Row],[DATA]])</f>
        <v>2029</v>
      </c>
      <c r="N410">
        <f>DAY(tb_investimentos[[#This Row],[DATA]])</f>
        <v>15</v>
      </c>
      <c r="O410">
        <f t="shared" si="13"/>
        <v>1629.9930261538464</v>
      </c>
      <c r="P410">
        <f>tb_investimentos[[#This Row],[PREÇO MÉDIO PONDERADO]]*tb_investimentos[[#This Row],[QUANTIDADE]]</f>
        <v>1629.9930261538464</v>
      </c>
      <c r="Q410" s="58" t="str">
        <f ca="1">IFERROR(_xlfn.XLOOKUP(tb_investimentos[[#This Row],[DESCRIÇÃO]],tb_acoes[Símbolo do ticker],tb_acoes[Preço]),"")</f>
        <v/>
      </c>
      <c r="R410" s="58" t="str">
        <f ca="1">IFERROR(tb_investimentos[[#This Row],[QUANTIDADE]]*tb_investimentos[[#This Row],[PREÇO MERCADO]],"")</f>
        <v/>
      </c>
      <c r="S410" s="58" t="str">
        <f ca="1">IFERROR(tb_investimentos[[#This Row],[VALOR TOTAL MERCADO]]-tb_investimentos[[#This Row],[VALOR TOTAL PONDERADO]],"")</f>
        <v/>
      </c>
      <c r="T410" s="58" t="str">
        <f ca="1">IFERROR(_xlfn.XLOOKUP(tb_investimentos[[#This Row],[DESCRIÇÃO]],'INFO AÇÕES'!E:E,'INFO AÇÕES'!H:H),"")</f>
        <v/>
      </c>
      <c r="U410" s="59" t="str">
        <f ca="1">IFERROR((tb_investimentos[[#This Row],[VALOR TOTAL MERCADO]]-tb_investimentos[[#This Row],[VALOR TOTAL PONDERADO]])/tb_investimentos[[#This Row],[VALOR TOTAL PONDERADO]],"")</f>
        <v/>
      </c>
    </row>
    <row r="411" spans="2:21" hidden="1" x14ac:dyDescent="0.2">
      <c r="B411" s="13" t="s">
        <v>77</v>
      </c>
      <c r="C411" s="10">
        <v>47437</v>
      </c>
      <c r="D411" s="9" t="s">
        <v>130</v>
      </c>
      <c r="E411" s="11" t="str">
        <f>IF(tb_investimentos[[#This Row],[TIPO MOVIMENTAÇÃO]]="Aporte",_xlfn.XLOOKUP(tb_investimentos[[#This Row],[DESCRIÇÃO]],'INFO AÇÕES'!E:E,'INFO AÇÕES'!I:I),"BRL")</f>
        <v>BRL</v>
      </c>
      <c r="F411" s="75" t="s">
        <v>83</v>
      </c>
      <c r="G411" s="11">
        <v>1</v>
      </c>
      <c r="H411" s="12">
        <v>400</v>
      </c>
      <c r="I411" s="13" t="s">
        <v>107</v>
      </c>
      <c r="J411" s="51">
        <f t="shared" si="12"/>
        <v>400</v>
      </c>
      <c r="K411" s="13" t="s">
        <v>105</v>
      </c>
      <c r="L411">
        <f>MONTH(tb_investimentos[[#This Row],[DATA]])</f>
        <v>11</v>
      </c>
      <c r="M411">
        <f>YEAR(tb_investimentos[[#This Row],[DATA]])</f>
        <v>2029</v>
      </c>
      <c r="N411">
        <f>DAY(tb_investimentos[[#This Row],[DATA]])</f>
        <v>15</v>
      </c>
      <c r="O411">
        <f t="shared" si="13"/>
        <v>400</v>
      </c>
      <c r="P411">
        <f>tb_investimentos[[#This Row],[PREÇO MÉDIO PONDERADO]]*tb_investimentos[[#This Row],[QUANTIDADE]]</f>
        <v>400</v>
      </c>
      <c r="Q411" s="58" t="str">
        <f ca="1">IFERROR(_xlfn.XLOOKUP(tb_investimentos[[#This Row],[DESCRIÇÃO]],tb_acoes[Símbolo do ticker],tb_acoes[Preço]),"")</f>
        <v/>
      </c>
      <c r="R411" s="58" t="str">
        <f ca="1">IFERROR(tb_investimentos[[#This Row],[QUANTIDADE]]*tb_investimentos[[#This Row],[PREÇO MERCADO]],"")</f>
        <v/>
      </c>
      <c r="S411" s="58" t="str">
        <f ca="1">IFERROR(tb_investimentos[[#This Row],[VALOR TOTAL MERCADO]]-tb_investimentos[[#This Row],[VALOR TOTAL PONDERADO]],"")</f>
        <v/>
      </c>
      <c r="T411" s="58" t="str">
        <f ca="1">IFERROR(_xlfn.XLOOKUP(tb_investimentos[[#This Row],[DESCRIÇÃO]],'INFO AÇÕES'!E:E,'INFO AÇÕES'!H:H),"")</f>
        <v/>
      </c>
      <c r="U411" s="59" t="str">
        <f ca="1">IFERROR((tb_investimentos[[#This Row],[VALOR TOTAL MERCADO]]-tb_investimentos[[#This Row],[VALOR TOTAL PONDERADO]])/tb_investimentos[[#This Row],[VALOR TOTAL PONDERADO]],"")</f>
        <v/>
      </c>
    </row>
    <row r="412" spans="2:21" hidden="1" x14ac:dyDescent="0.2">
      <c r="B412" s="13" t="s">
        <v>77</v>
      </c>
      <c r="C412" s="72">
        <v>47437</v>
      </c>
      <c r="D412" s="9" t="s">
        <v>78</v>
      </c>
      <c r="E412" s="11" t="str">
        <f>IF(tb_investimentos[[#This Row],[TIPO MOVIMENTAÇÃO]]="Aporte",_xlfn.XLOOKUP(tb_investimentos[[#This Row],[DESCRIÇÃO]],'INFO AÇÕES'!E:E,'INFO AÇÕES'!I:I),"BRL")</f>
        <v>BRL</v>
      </c>
      <c r="F412" s="75" t="s">
        <v>102</v>
      </c>
      <c r="G412" s="11">
        <v>1</v>
      </c>
      <c r="H412" s="12">
        <v>39.9</v>
      </c>
      <c r="I412" s="13" t="s">
        <v>107</v>
      </c>
      <c r="J412" s="51">
        <f t="shared" si="12"/>
        <v>39.9</v>
      </c>
      <c r="K412" s="13" t="s">
        <v>105</v>
      </c>
      <c r="L412">
        <f>MONTH(tb_investimentos[[#This Row],[DATA]])</f>
        <v>11</v>
      </c>
      <c r="M412">
        <f>YEAR(tb_investimentos[[#This Row],[DATA]])</f>
        <v>2029</v>
      </c>
      <c r="N412">
        <f>DAY(tb_investimentos[[#This Row],[DATA]])</f>
        <v>15</v>
      </c>
      <c r="O412">
        <f t="shared" si="13"/>
        <v>59.90000000000002</v>
      </c>
      <c r="P412">
        <f>tb_investimentos[[#This Row],[PREÇO MÉDIO PONDERADO]]*tb_investimentos[[#This Row],[QUANTIDADE]]</f>
        <v>59.90000000000002</v>
      </c>
      <c r="Q412" s="58" t="str">
        <f ca="1">IFERROR(_xlfn.XLOOKUP(tb_investimentos[[#This Row],[DESCRIÇÃO]],tb_acoes[Símbolo do ticker],tb_acoes[Preço]),"")</f>
        <v/>
      </c>
      <c r="R412" s="58" t="str">
        <f ca="1">IFERROR(tb_investimentos[[#This Row],[QUANTIDADE]]*tb_investimentos[[#This Row],[PREÇO MERCADO]],"")</f>
        <v/>
      </c>
      <c r="S412" s="58" t="str">
        <f ca="1">IFERROR(tb_investimentos[[#This Row],[VALOR TOTAL MERCADO]]-tb_investimentos[[#This Row],[VALOR TOTAL PONDERADO]],"")</f>
        <v/>
      </c>
      <c r="T412" s="58" t="str">
        <f ca="1">IFERROR(_xlfn.XLOOKUP(tb_investimentos[[#This Row],[DESCRIÇÃO]],'INFO AÇÕES'!E:E,'INFO AÇÕES'!H:H),"")</f>
        <v/>
      </c>
      <c r="U412" s="59" t="str">
        <f ca="1">IFERROR((tb_investimentos[[#This Row],[VALOR TOTAL MERCADO]]-tb_investimentos[[#This Row],[VALOR TOTAL PONDERADO]])/tb_investimentos[[#This Row],[VALOR TOTAL PONDERADO]],"")</f>
        <v/>
      </c>
    </row>
    <row r="413" spans="2:21" hidden="1" x14ac:dyDescent="0.2">
      <c r="B413" s="13" t="s">
        <v>77</v>
      </c>
      <c r="C413" s="72">
        <v>47437</v>
      </c>
      <c r="D413" s="9" t="s">
        <v>78</v>
      </c>
      <c r="E413" s="11" t="str">
        <f>IF(tb_investimentos[[#This Row],[TIPO MOVIMENTAÇÃO]]="Aporte",_xlfn.XLOOKUP(tb_investimentos[[#This Row],[DESCRIÇÃO]],'INFO AÇÕES'!E:E,'INFO AÇÕES'!I:I),"BRL")</f>
        <v>BRL</v>
      </c>
      <c r="F413" s="75" t="s">
        <v>101</v>
      </c>
      <c r="G413" s="11">
        <v>1</v>
      </c>
      <c r="H413" s="12">
        <v>79.900000000000006</v>
      </c>
      <c r="I413" s="13" t="s">
        <v>107</v>
      </c>
      <c r="J413" s="51">
        <f t="shared" si="12"/>
        <v>79.900000000000006</v>
      </c>
      <c r="K413" s="13" t="s">
        <v>105</v>
      </c>
      <c r="L413">
        <f>MONTH(tb_investimentos[[#This Row],[DATA]])</f>
        <v>11</v>
      </c>
      <c r="M413">
        <f>YEAR(tb_investimentos[[#This Row],[DATA]])</f>
        <v>2029</v>
      </c>
      <c r="N413">
        <f>DAY(tb_investimentos[[#This Row],[DATA]])</f>
        <v>15</v>
      </c>
      <c r="O413">
        <f t="shared" si="13"/>
        <v>59.90000000000002</v>
      </c>
      <c r="P413">
        <f>tb_investimentos[[#This Row],[PREÇO MÉDIO PONDERADO]]*tb_investimentos[[#This Row],[QUANTIDADE]]</f>
        <v>59.90000000000002</v>
      </c>
      <c r="Q413" s="58" t="str">
        <f ca="1">IFERROR(_xlfn.XLOOKUP(tb_investimentos[[#This Row],[DESCRIÇÃO]],tb_acoes[Símbolo do ticker],tb_acoes[Preço]),"")</f>
        <v/>
      </c>
      <c r="R413" s="58" t="str">
        <f ca="1">IFERROR(tb_investimentos[[#This Row],[QUANTIDADE]]*tb_investimentos[[#This Row],[PREÇO MERCADO]],"")</f>
        <v/>
      </c>
      <c r="S413" s="58" t="str">
        <f ca="1">IFERROR(tb_investimentos[[#This Row],[VALOR TOTAL MERCADO]]-tb_investimentos[[#This Row],[VALOR TOTAL PONDERADO]],"")</f>
        <v/>
      </c>
      <c r="T413" s="58" t="str">
        <f ca="1">IFERROR(_xlfn.XLOOKUP(tb_investimentos[[#This Row],[DESCRIÇÃO]],'INFO AÇÕES'!E:E,'INFO AÇÕES'!H:H),"")</f>
        <v/>
      </c>
      <c r="U413" s="59" t="str">
        <f ca="1">IFERROR((tb_investimentos[[#This Row],[VALOR TOTAL MERCADO]]-tb_investimentos[[#This Row],[VALOR TOTAL PONDERADO]])/tb_investimentos[[#This Row],[VALOR TOTAL PONDERADO]],"")</f>
        <v/>
      </c>
    </row>
    <row r="414" spans="2:21" hidden="1" x14ac:dyDescent="0.2">
      <c r="B414" s="13" t="s">
        <v>77</v>
      </c>
      <c r="C414" s="72">
        <v>47437</v>
      </c>
      <c r="D414" s="9" t="s">
        <v>79</v>
      </c>
      <c r="E414" s="11" t="str">
        <f>IF(tb_investimentos[[#This Row],[TIPO MOVIMENTAÇÃO]]="Aporte",_xlfn.XLOOKUP(tb_investimentos[[#This Row],[DESCRIÇÃO]],'INFO AÇÕES'!E:E,'INFO AÇÕES'!I:I),"BRL")</f>
        <v>BRL</v>
      </c>
      <c r="F414" s="75" t="s">
        <v>100</v>
      </c>
      <c r="G414" s="11">
        <v>1</v>
      </c>
      <c r="H414" s="12">
        <v>110</v>
      </c>
      <c r="I414" s="13" t="s">
        <v>107</v>
      </c>
      <c r="J414" s="51">
        <f t="shared" si="12"/>
        <v>110</v>
      </c>
      <c r="K414" s="13" t="s">
        <v>105</v>
      </c>
      <c r="L414">
        <f>MONTH(tb_investimentos[[#This Row],[DATA]])</f>
        <v>11</v>
      </c>
      <c r="M414">
        <f>YEAR(tb_investimentos[[#This Row],[DATA]])</f>
        <v>2029</v>
      </c>
      <c r="N414">
        <f>DAY(tb_investimentos[[#This Row],[DATA]])</f>
        <v>15</v>
      </c>
      <c r="O414">
        <f t="shared" si="13"/>
        <v>110</v>
      </c>
      <c r="P414">
        <f>tb_investimentos[[#This Row],[PREÇO MÉDIO PONDERADO]]*tb_investimentos[[#This Row],[QUANTIDADE]]</f>
        <v>110</v>
      </c>
      <c r="Q414" s="58" t="str">
        <f ca="1">IFERROR(_xlfn.XLOOKUP(tb_investimentos[[#This Row],[DESCRIÇÃO]],tb_acoes[Símbolo do ticker],tb_acoes[Preço]),"")</f>
        <v/>
      </c>
      <c r="R414" s="58" t="str">
        <f ca="1">IFERROR(tb_investimentos[[#This Row],[QUANTIDADE]]*tb_investimentos[[#This Row],[PREÇO MERCADO]],"")</f>
        <v/>
      </c>
      <c r="S414" s="58" t="str">
        <f ca="1">IFERROR(tb_investimentos[[#This Row],[VALOR TOTAL MERCADO]]-tb_investimentos[[#This Row],[VALOR TOTAL PONDERADO]],"")</f>
        <v/>
      </c>
      <c r="T414" s="58" t="str">
        <f ca="1">IFERROR(_xlfn.XLOOKUP(tb_investimentos[[#This Row],[DESCRIÇÃO]],'INFO AÇÕES'!E:E,'INFO AÇÕES'!H:H),"")</f>
        <v/>
      </c>
      <c r="U414" s="59" t="str">
        <f ca="1">IFERROR((tb_investimentos[[#This Row],[VALOR TOTAL MERCADO]]-tb_investimentos[[#This Row],[VALOR TOTAL PONDERADO]])/tb_investimentos[[#This Row],[VALOR TOTAL PONDERADO]],"")</f>
        <v/>
      </c>
    </row>
    <row r="415" spans="2:21" hidden="1" x14ac:dyDescent="0.2">
      <c r="B415" s="13" t="s">
        <v>77</v>
      </c>
      <c r="C415" s="72">
        <v>47437</v>
      </c>
      <c r="D415" s="9" t="s">
        <v>80</v>
      </c>
      <c r="E415" s="11" t="str">
        <f>IF(tb_investimentos[[#This Row],[TIPO MOVIMENTAÇÃO]]="Aporte",_xlfn.XLOOKUP(tb_investimentos[[#This Row],[DESCRIÇÃO]],'INFO AÇÕES'!E:E,'INFO AÇÕES'!I:I),"BRL")</f>
        <v>BRL</v>
      </c>
      <c r="F415" s="75" t="s">
        <v>99</v>
      </c>
      <c r="G415" s="11">
        <v>1</v>
      </c>
      <c r="H415" s="12">
        <v>25</v>
      </c>
      <c r="I415" s="13" t="s">
        <v>107</v>
      </c>
      <c r="J415" s="51">
        <f t="shared" si="12"/>
        <v>25</v>
      </c>
      <c r="K415" s="13" t="s">
        <v>105</v>
      </c>
      <c r="L415">
        <f>MONTH(tb_investimentos[[#This Row],[DATA]])</f>
        <v>11</v>
      </c>
      <c r="M415">
        <f>YEAR(tb_investimentos[[#This Row],[DATA]])</f>
        <v>2029</v>
      </c>
      <c r="N415">
        <f>DAY(tb_investimentos[[#This Row],[DATA]])</f>
        <v>15</v>
      </c>
      <c r="O415">
        <f t="shared" si="13"/>
        <v>25</v>
      </c>
      <c r="P415">
        <f>tb_investimentos[[#This Row],[PREÇO MÉDIO PONDERADO]]*tb_investimentos[[#This Row],[QUANTIDADE]]</f>
        <v>25</v>
      </c>
      <c r="Q415" s="58" t="str">
        <f ca="1">IFERROR(_xlfn.XLOOKUP(tb_investimentos[[#This Row],[DESCRIÇÃO]],tb_acoes[Símbolo do ticker],tb_acoes[Preço]),"")</f>
        <v/>
      </c>
      <c r="R415" s="58" t="str">
        <f ca="1">IFERROR(tb_investimentos[[#This Row],[QUANTIDADE]]*tb_investimentos[[#This Row],[PREÇO MERCADO]],"")</f>
        <v/>
      </c>
      <c r="S415" s="58" t="str">
        <f ca="1">IFERROR(tb_investimentos[[#This Row],[VALOR TOTAL MERCADO]]-tb_investimentos[[#This Row],[VALOR TOTAL PONDERADO]],"")</f>
        <v/>
      </c>
      <c r="T415" s="58" t="str">
        <f ca="1">IFERROR(_xlfn.XLOOKUP(tb_investimentos[[#This Row],[DESCRIÇÃO]],'INFO AÇÕES'!E:E,'INFO AÇÕES'!H:H),"")</f>
        <v/>
      </c>
      <c r="U415" s="59" t="str">
        <f ca="1">IFERROR((tb_investimentos[[#This Row],[VALOR TOTAL MERCADO]]-tb_investimentos[[#This Row],[VALOR TOTAL PONDERADO]])/tb_investimentos[[#This Row],[VALOR TOTAL PONDERADO]],"")</f>
        <v/>
      </c>
    </row>
    <row r="416" spans="2:21" hidden="1" x14ac:dyDescent="0.2">
      <c r="B416" s="13" t="s">
        <v>72</v>
      </c>
      <c r="C416" s="72">
        <v>47457</v>
      </c>
      <c r="D416" s="9" t="s">
        <v>76</v>
      </c>
      <c r="E416" s="11" t="str">
        <f>IF(tb_investimentos[[#This Row],[TIPO MOVIMENTAÇÃO]]="Aporte",_xlfn.XLOOKUP(tb_investimentos[[#This Row],[DESCRIÇÃO]],'INFO AÇÕES'!E:E,'INFO AÇÕES'!I:I),"BRL")</f>
        <v>BRL</v>
      </c>
      <c r="F416" s="75" t="s">
        <v>73</v>
      </c>
      <c r="G416" s="11">
        <v>1</v>
      </c>
      <c r="H416" s="12">
        <v>8000</v>
      </c>
      <c r="I416" s="13" t="s">
        <v>107</v>
      </c>
      <c r="J416" s="51">
        <f t="shared" si="12"/>
        <v>8000</v>
      </c>
      <c r="K416" s="13" t="s">
        <v>105</v>
      </c>
      <c r="L416">
        <f>MONTH(tb_investimentos[[#This Row],[DATA]])</f>
        <v>12</v>
      </c>
      <c r="M416">
        <f>YEAR(tb_investimentos[[#This Row],[DATA]])</f>
        <v>2029</v>
      </c>
      <c r="N416">
        <f>DAY(tb_investimentos[[#This Row],[DATA]])</f>
        <v>5</v>
      </c>
      <c r="O416">
        <f t="shared" si="13"/>
        <v>7801.7948717948721</v>
      </c>
      <c r="P416">
        <f>tb_investimentos[[#This Row],[PREÇO MÉDIO PONDERADO]]*tb_investimentos[[#This Row],[QUANTIDADE]]</f>
        <v>7801.7948717948721</v>
      </c>
      <c r="Q416" s="58" t="str">
        <f ca="1">IFERROR(_xlfn.XLOOKUP(tb_investimentos[[#This Row],[DESCRIÇÃO]],tb_acoes[Símbolo do ticker],tb_acoes[Preço]),"")</f>
        <v/>
      </c>
      <c r="R416" s="58" t="str">
        <f ca="1">IFERROR(tb_investimentos[[#This Row],[QUANTIDADE]]*tb_investimentos[[#This Row],[PREÇO MERCADO]],"")</f>
        <v/>
      </c>
      <c r="S416" s="58" t="str">
        <f ca="1">IFERROR(tb_investimentos[[#This Row],[VALOR TOTAL MERCADO]]-tb_investimentos[[#This Row],[VALOR TOTAL PONDERADO]],"")</f>
        <v/>
      </c>
      <c r="T416" s="58" t="str">
        <f ca="1">IFERROR(_xlfn.XLOOKUP(tb_investimentos[[#This Row],[DESCRIÇÃO]],'INFO AÇÕES'!E:E,'INFO AÇÕES'!H:H),"")</f>
        <v/>
      </c>
      <c r="U416" s="59" t="str">
        <f ca="1">IFERROR((tb_investimentos[[#This Row],[VALOR TOTAL MERCADO]]-tb_investimentos[[#This Row],[VALOR TOTAL PONDERADO]])/tb_investimentos[[#This Row],[VALOR TOTAL PONDERADO]],"")</f>
        <v/>
      </c>
    </row>
    <row r="417" spans="2:21" hidden="1" x14ac:dyDescent="0.2">
      <c r="B417" s="13" t="s">
        <v>39</v>
      </c>
      <c r="C417" s="10">
        <v>47457</v>
      </c>
      <c r="D417" s="9"/>
      <c r="E417" s="11">
        <f ca="1">IF(tb_investimentos[[#This Row],[TIPO MOVIMENTAÇÃO]]="Aporte",_xlfn.XLOOKUP(tb_investimentos[[#This Row],[DESCRIÇÃO]],'INFO AÇÕES'!E:E,'INFO AÇÕES'!I:I),"BRL")</f>
        <v>0</v>
      </c>
      <c r="F417" s="73" t="s">
        <v>10</v>
      </c>
      <c r="G417" s="11">
        <v>1</v>
      </c>
      <c r="H417" s="12">
        <v>3000</v>
      </c>
      <c r="I417" s="13" t="s">
        <v>58</v>
      </c>
      <c r="J417" s="51">
        <f t="shared" si="12"/>
        <v>3000</v>
      </c>
      <c r="K417" s="11" t="s">
        <v>105</v>
      </c>
      <c r="L417">
        <f>MONTH(tb_investimentos[[#This Row],[DATA]])</f>
        <v>12</v>
      </c>
      <c r="M417">
        <f>YEAR(tb_investimentos[[#This Row],[DATA]])</f>
        <v>2029</v>
      </c>
      <c r="N417">
        <f>DAY(tb_investimentos[[#This Row],[DATA]])</f>
        <v>5</v>
      </c>
      <c r="O417" t="e">
        <f t="shared" si="13"/>
        <v>#DIV/0!</v>
      </c>
      <c r="P417" t="e">
        <f>tb_investimentos[[#This Row],[PREÇO MÉDIO PONDERADO]]*tb_investimentos[[#This Row],[QUANTIDADE]]</f>
        <v>#DIV/0!</v>
      </c>
      <c r="Q417" s="58" t="str">
        <f ca="1">IFERROR(_xlfn.XLOOKUP(tb_investimentos[[#This Row],[DESCRIÇÃO]],tb_acoes[Símbolo do ticker],tb_acoes[Preço]),"")</f>
        <v/>
      </c>
      <c r="R417" s="58" t="str">
        <f ca="1">IFERROR(tb_investimentos[[#This Row],[QUANTIDADE]]*tb_investimentos[[#This Row],[PREÇO MERCADO]],"")</f>
        <v/>
      </c>
      <c r="S417" s="58" t="str">
        <f ca="1">IFERROR(tb_investimentos[[#This Row],[VALOR TOTAL MERCADO]]-tb_investimentos[[#This Row],[VALOR TOTAL PONDERADO]],"")</f>
        <v/>
      </c>
      <c r="T417" s="58">
        <f ca="1">IFERROR(_xlfn.XLOOKUP(tb_investimentos[[#This Row],[DESCRIÇÃO]],'INFO AÇÕES'!E:E,'INFO AÇÕES'!H:H),"")</f>
        <v>0</v>
      </c>
      <c r="U417" s="59" t="str">
        <f ca="1">IFERROR((tb_investimentos[[#This Row],[VALOR TOTAL MERCADO]]-tb_investimentos[[#This Row],[VALOR TOTAL PONDERADO]])/tb_investimentos[[#This Row],[VALOR TOTAL PONDERADO]],"")</f>
        <v/>
      </c>
    </row>
    <row r="418" spans="2:21" hidden="1" x14ac:dyDescent="0.2">
      <c r="B418" s="13" t="s">
        <v>77</v>
      </c>
      <c r="C418" s="10">
        <v>47467</v>
      </c>
      <c r="D418" s="9" t="s">
        <v>88</v>
      </c>
      <c r="E418" s="11" t="str">
        <f>IF(tb_investimentos[[#This Row],[TIPO MOVIMENTAÇÃO]]="Aporte",_xlfn.XLOOKUP(tb_investimentos[[#This Row],[DESCRIÇÃO]],'INFO AÇÕES'!E:E,'INFO AÇÕES'!I:I),"BRL")</f>
        <v>BRL</v>
      </c>
      <c r="F418" s="75" t="s">
        <v>131</v>
      </c>
      <c r="G418" s="11">
        <v>1</v>
      </c>
      <c r="H418" s="12">
        <v>2192.0970799999996</v>
      </c>
      <c r="I418" s="13" t="s">
        <v>107</v>
      </c>
      <c r="J418" s="51">
        <f t="shared" si="12"/>
        <v>2192.0970799999996</v>
      </c>
      <c r="K418" s="13" t="s">
        <v>105</v>
      </c>
      <c r="L418">
        <f>MONTH(tb_investimentos[[#This Row],[DATA]])</f>
        <v>12</v>
      </c>
      <c r="M418">
        <f>YEAR(tb_investimentos[[#This Row],[DATA]])</f>
        <v>2029</v>
      </c>
      <c r="N418">
        <f>DAY(tb_investimentos[[#This Row],[DATA]])</f>
        <v>15</v>
      </c>
      <c r="O418">
        <f t="shared" si="13"/>
        <v>1629.9930261538464</v>
      </c>
      <c r="P418">
        <f>tb_investimentos[[#This Row],[PREÇO MÉDIO PONDERADO]]*tb_investimentos[[#This Row],[QUANTIDADE]]</f>
        <v>1629.9930261538464</v>
      </c>
      <c r="Q418" s="58" t="str">
        <f ca="1">IFERROR(_xlfn.XLOOKUP(tb_investimentos[[#This Row],[DESCRIÇÃO]],tb_acoes[Símbolo do ticker],tb_acoes[Preço]),"")</f>
        <v/>
      </c>
      <c r="R418" s="58" t="str">
        <f ca="1">IFERROR(tb_investimentos[[#This Row],[QUANTIDADE]]*tb_investimentos[[#This Row],[PREÇO MERCADO]],"")</f>
        <v/>
      </c>
      <c r="S418" s="58" t="str">
        <f ca="1">IFERROR(tb_investimentos[[#This Row],[VALOR TOTAL MERCADO]]-tb_investimentos[[#This Row],[VALOR TOTAL PONDERADO]],"")</f>
        <v/>
      </c>
      <c r="T418" s="58" t="str">
        <f ca="1">IFERROR(_xlfn.XLOOKUP(tb_investimentos[[#This Row],[DESCRIÇÃO]],'INFO AÇÕES'!E:E,'INFO AÇÕES'!H:H),"")</f>
        <v/>
      </c>
      <c r="U418" s="59" t="str">
        <f ca="1">IFERROR((tb_investimentos[[#This Row],[VALOR TOTAL MERCADO]]-tb_investimentos[[#This Row],[VALOR TOTAL PONDERADO]])/tb_investimentos[[#This Row],[VALOR TOTAL PONDERADO]],"")</f>
        <v/>
      </c>
    </row>
    <row r="419" spans="2:21" hidden="1" x14ac:dyDescent="0.2">
      <c r="B419" s="13" t="s">
        <v>77</v>
      </c>
      <c r="C419" s="10">
        <v>47467</v>
      </c>
      <c r="D419" s="9" t="s">
        <v>130</v>
      </c>
      <c r="E419" s="11" t="str">
        <f>IF(tb_investimentos[[#This Row],[TIPO MOVIMENTAÇÃO]]="Aporte",_xlfn.XLOOKUP(tb_investimentos[[#This Row],[DESCRIÇÃO]],'INFO AÇÕES'!E:E,'INFO AÇÕES'!I:I),"BRL")</f>
        <v>BRL</v>
      </c>
      <c r="F419" s="75" t="s">
        <v>83</v>
      </c>
      <c r="G419" s="11">
        <v>1</v>
      </c>
      <c r="H419" s="12">
        <v>400</v>
      </c>
      <c r="I419" s="13" t="s">
        <v>107</v>
      </c>
      <c r="J419" s="51">
        <f t="shared" si="12"/>
        <v>400</v>
      </c>
      <c r="K419" s="13" t="s">
        <v>105</v>
      </c>
      <c r="L419">
        <f>MONTH(tb_investimentos[[#This Row],[DATA]])</f>
        <v>12</v>
      </c>
      <c r="M419">
        <f>YEAR(tb_investimentos[[#This Row],[DATA]])</f>
        <v>2029</v>
      </c>
      <c r="N419">
        <f>DAY(tb_investimentos[[#This Row],[DATA]])</f>
        <v>15</v>
      </c>
      <c r="O419">
        <f t="shared" si="13"/>
        <v>400</v>
      </c>
      <c r="P419">
        <f>tb_investimentos[[#This Row],[PREÇO MÉDIO PONDERADO]]*tb_investimentos[[#This Row],[QUANTIDADE]]</f>
        <v>400</v>
      </c>
      <c r="Q419" s="58" t="str">
        <f ca="1">IFERROR(_xlfn.XLOOKUP(tb_investimentos[[#This Row],[DESCRIÇÃO]],tb_acoes[Símbolo do ticker],tb_acoes[Preço]),"")</f>
        <v/>
      </c>
      <c r="R419" s="58" t="str">
        <f ca="1">IFERROR(tb_investimentos[[#This Row],[QUANTIDADE]]*tb_investimentos[[#This Row],[PREÇO MERCADO]],"")</f>
        <v/>
      </c>
      <c r="S419" s="58" t="str">
        <f ca="1">IFERROR(tb_investimentos[[#This Row],[VALOR TOTAL MERCADO]]-tb_investimentos[[#This Row],[VALOR TOTAL PONDERADO]],"")</f>
        <v/>
      </c>
      <c r="T419" s="58" t="str">
        <f ca="1">IFERROR(_xlfn.XLOOKUP(tb_investimentos[[#This Row],[DESCRIÇÃO]],'INFO AÇÕES'!E:E,'INFO AÇÕES'!H:H),"")</f>
        <v/>
      </c>
      <c r="U419" s="59" t="str">
        <f ca="1">IFERROR((tb_investimentos[[#This Row],[VALOR TOTAL MERCADO]]-tb_investimentos[[#This Row],[VALOR TOTAL PONDERADO]])/tb_investimentos[[#This Row],[VALOR TOTAL PONDERADO]],"")</f>
        <v/>
      </c>
    </row>
    <row r="420" spans="2:21" hidden="1" x14ac:dyDescent="0.2">
      <c r="B420" s="13" t="s">
        <v>77</v>
      </c>
      <c r="C420" s="72">
        <v>47467</v>
      </c>
      <c r="D420" s="9" t="s">
        <v>78</v>
      </c>
      <c r="E420" s="11" t="str">
        <f>IF(tb_investimentos[[#This Row],[TIPO MOVIMENTAÇÃO]]="Aporte",_xlfn.XLOOKUP(tb_investimentos[[#This Row],[DESCRIÇÃO]],'INFO AÇÕES'!E:E,'INFO AÇÕES'!I:I),"BRL")</f>
        <v>BRL</v>
      </c>
      <c r="F420" s="75" t="s">
        <v>102</v>
      </c>
      <c r="G420" s="11">
        <v>1</v>
      </c>
      <c r="H420" s="12">
        <v>39.9</v>
      </c>
      <c r="I420" s="13" t="s">
        <v>107</v>
      </c>
      <c r="J420" s="51">
        <f t="shared" si="12"/>
        <v>39.9</v>
      </c>
      <c r="K420" s="13" t="s">
        <v>105</v>
      </c>
      <c r="L420">
        <f>MONTH(tb_investimentos[[#This Row],[DATA]])</f>
        <v>12</v>
      </c>
      <c r="M420">
        <f>YEAR(tb_investimentos[[#This Row],[DATA]])</f>
        <v>2029</v>
      </c>
      <c r="N420">
        <f>DAY(tb_investimentos[[#This Row],[DATA]])</f>
        <v>15</v>
      </c>
      <c r="O420">
        <f t="shared" si="13"/>
        <v>59.90000000000002</v>
      </c>
      <c r="P420">
        <f>tb_investimentos[[#This Row],[PREÇO MÉDIO PONDERADO]]*tb_investimentos[[#This Row],[QUANTIDADE]]</f>
        <v>59.90000000000002</v>
      </c>
      <c r="Q420" s="58" t="str">
        <f ca="1">IFERROR(_xlfn.XLOOKUP(tb_investimentos[[#This Row],[DESCRIÇÃO]],tb_acoes[Símbolo do ticker],tb_acoes[Preço]),"")</f>
        <v/>
      </c>
      <c r="R420" s="58" t="str">
        <f ca="1">IFERROR(tb_investimentos[[#This Row],[QUANTIDADE]]*tb_investimentos[[#This Row],[PREÇO MERCADO]],"")</f>
        <v/>
      </c>
      <c r="S420" s="58" t="str">
        <f ca="1">IFERROR(tb_investimentos[[#This Row],[VALOR TOTAL MERCADO]]-tb_investimentos[[#This Row],[VALOR TOTAL PONDERADO]],"")</f>
        <v/>
      </c>
      <c r="T420" s="58" t="str">
        <f ca="1">IFERROR(_xlfn.XLOOKUP(tb_investimentos[[#This Row],[DESCRIÇÃO]],'INFO AÇÕES'!E:E,'INFO AÇÕES'!H:H),"")</f>
        <v/>
      </c>
      <c r="U420" s="59" t="str">
        <f ca="1">IFERROR((tb_investimentos[[#This Row],[VALOR TOTAL MERCADO]]-tb_investimentos[[#This Row],[VALOR TOTAL PONDERADO]])/tb_investimentos[[#This Row],[VALOR TOTAL PONDERADO]],"")</f>
        <v/>
      </c>
    </row>
    <row r="421" spans="2:21" hidden="1" x14ac:dyDescent="0.2">
      <c r="B421" s="13" t="s">
        <v>77</v>
      </c>
      <c r="C421" s="72">
        <v>47467</v>
      </c>
      <c r="D421" s="9" t="s">
        <v>78</v>
      </c>
      <c r="E421" s="11" t="str">
        <f>IF(tb_investimentos[[#This Row],[TIPO MOVIMENTAÇÃO]]="Aporte",_xlfn.XLOOKUP(tb_investimentos[[#This Row],[DESCRIÇÃO]],'INFO AÇÕES'!E:E,'INFO AÇÕES'!I:I),"BRL")</f>
        <v>BRL</v>
      </c>
      <c r="F421" s="75" t="s">
        <v>101</v>
      </c>
      <c r="G421" s="11">
        <v>1</v>
      </c>
      <c r="H421" s="12">
        <v>79.900000000000006</v>
      </c>
      <c r="I421" s="13" t="s">
        <v>107</v>
      </c>
      <c r="J421" s="51">
        <f t="shared" si="12"/>
        <v>79.900000000000006</v>
      </c>
      <c r="K421" s="13" t="s">
        <v>105</v>
      </c>
      <c r="L421">
        <f>MONTH(tb_investimentos[[#This Row],[DATA]])</f>
        <v>12</v>
      </c>
      <c r="M421">
        <f>YEAR(tb_investimentos[[#This Row],[DATA]])</f>
        <v>2029</v>
      </c>
      <c r="N421">
        <f>DAY(tb_investimentos[[#This Row],[DATA]])</f>
        <v>15</v>
      </c>
      <c r="O421">
        <f t="shared" si="13"/>
        <v>59.90000000000002</v>
      </c>
      <c r="P421">
        <f>tb_investimentos[[#This Row],[PREÇO MÉDIO PONDERADO]]*tb_investimentos[[#This Row],[QUANTIDADE]]</f>
        <v>59.90000000000002</v>
      </c>
      <c r="Q421" s="58" t="str">
        <f ca="1">IFERROR(_xlfn.XLOOKUP(tb_investimentos[[#This Row],[DESCRIÇÃO]],tb_acoes[Símbolo do ticker],tb_acoes[Preço]),"")</f>
        <v/>
      </c>
      <c r="R421" s="58" t="str">
        <f ca="1">IFERROR(tb_investimentos[[#This Row],[QUANTIDADE]]*tb_investimentos[[#This Row],[PREÇO MERCADO]],"")</f>
        <v/>
      </c>
      <c r="S421" s="58" t="str">
        <f ca="1">IFERROR(tb_investimentos[[#This Row],[VALOR TOTAL MERCADO]]-tb_investimentos[[#This Row],[VALOR TOTAL PONDERADO]],"")</f>
        <v/>
      </c>
      <c r="T421" s="58" t="str">
        <f ca="1">IFERROR(_xlfn.XLOOKUP(tb_investimentos[[#This Row],[DESCRIÇÃO]],'INFO AÇÕES'!E:E,'INFO AÇÕES'!H:H),"")</f>
        <v/>
      </c>
      <c r="U421" s="59" t="str">
        <f ca="1">IFERROR((tb_investimentos[[#This Row],[VALOR TOTAL MERCADO]]-tb_investimentos[[#This Row],[VALOR TOTAL PONDERADO]])/tb_investimentos[[#This Row],[VALOR TOTAL PONDERADO]],"")</f>
        <v/>
      </c>
    </row>
    <row r="422" spans="2:21" hidden="1" x14ac:dyDescent="0.2">
      <c r="B422" s="13" t="s">
        <v>77</v>
      </c>
      <c r="C422" s="72">
        <v>47467</v>
      </c>
      <c r="D422" s="9" t="s">
        <v>79</v>
      </c>
      <c r="E422" s="11" t="str">
        <f>IF(tb_investimentos[[#This Row],[TIPO MOVIMENTAÇÃO]]="Aporte",_xlfn.XLOOKUP(tb_investimentos[[#This Row],[DESCRIÇÃO]],'INFO AÇÕES'!E:E,'INFO AÇÕES'!I:I),"BRL")</f>
        <v>BRL</v>
      </c>
      <c r="F422" s="75" t="s">
        <v>100</v>
      </c>
      <c r="G422" s="11">
        <v>1</v>
      </c>
      <c r="H422" s="12">
        <v>110</v>
      </c>
      <c r="I422" s="13" t="s">
        <v>107</v>
      </c>
      <c r="J422" s="51">
        <f t="shared" si="12"/>
        <v>110</v>
      </c>
      <c r="K422" s="13" t="s">
        <v>105</v>
      </c>
      <c r="L422">
        <f>MONTH(tb_investimentos[[#This Row],[DATA]])</f>
        <v>12</v>
      </c>
      <c r="M422">
        <f>YEAR(tb_investimentos[[#This Row],[DATA]])</f>
        <v>2029</v>
      </c>
      <c r="N422">
        <f>DAY(tb_investimentos[[#This Row],[DATA]])</f>
        <v>15</v>
      </c>
      <c r="O422">
        <f t="shared" si="13"/>
        <v>110</v>
      </c>
      <c r="P422">
        <f>tb_investimentos[[#This Row],[PREÇO MÉDIO PONDERADO]]*tb_investimentos[[#This Row],[QUANTIDADE]]</f>
        <v>110</v>
      </c>
      <c r="Q422" s="58" t="str">
        <f ca="1">IFERROR(_xlfn.XLOOKUP(tb_investimentos[[#This Row],[DESCRIÇÃO]],tb_acoes[Símbolo do ticker],tb_acoes[Preço]),"")</f>
        <v/>
      </c>
      <c r="R422" s="58" t="str">
        <f ca="1">IFERROR(tb_investimentos[[#This Row],[QUANTIDADE]]*tb_investimentos[[#This Row],[PREÇO MERCADO]],"")</f>
        <v/>
      </c>
      <c r="S422" s="58" t="str">
        <f ca="1">IFERROR(tb_investimentos[[#This Row],[VALOR TOTAL MERCADO]]-tb_investimentos[[#This Row],[VALOR TOTAL PONDERADO]],"")</f>
        <v/>
      </c>
      <c r="T422" s="58" t="str">
        <f ca="1">IFERROR(_xlfn.XLOOKUP(tb_investimentos[[#This Row],[DESCRIÇÃO]],'INFO AÇÕES'!E:E,'INFO AÇÕES'!H:H),"")</f>
        <v/>
      </c>
      <c r="U422" s="59" t="str">
        <f ca="1">IFERROR((tb_investimentos[[#This Row],[VALOR TOTAL MERCADO]]-tb_investimentos[[#This Row],[VALOR TOTAL PONDERADO]])/tb_investimentos[[#This Row],[VALOR TOTAL PONDERADO]],"")</f>
        <v/>
      </c>
    </row>
    <row r="423" spans="2:21" hidden="1" x14ac:dyDescent="0.2">
      <c r="B423" s="13" t="s">
        <v>77</v>
      </c>
      <c r="C423" s="72">
        <v>47467</v>
      </c>
      <c r="D423" s="9" t="s">
        <v>80</v>
      </c>
      <c r="E423" s="11" t="str">
        <f>IF(tb_investimentos[[#This Row],[TIPO MOVIMENTAÇÃO]]="Aporte",_xlfn.XLOOKUP(tb_investimentos[[#This Row],[DESCRIÇÃO]],'INFO AÇÕES'!E:E,'INFO AÇÕES'!I:I),"BRL")</f>
        <v>BRL</v>
      </c>
      <c r="F423" s="75" t="s">
        <v>99</v>
      </c>
      <c r="G423" s="11">
        <v>1</v>
      </c>
      <c r="H423" s="12">
        <v>25</v>
      </c>
      <c r="I423" s="13" t="s">
        <v>107</v>
      </c>
      <c r="J423" s="51">
        <f t="shared" si="12"/>
        <v>25</v>
      </c>
      <c r="K423" s="13" t="s">
        <v>105</v>
      </c>
      <c r="L423">
        <f>MONTH(tb_investimentos[[#This Row],[DATA]])</f>
        <v>12</v>
      </c>
      <c r="M423">
        <f>YEAR(tb_investimentos[[#This Row],[DATA]])</f>
        <v>2029</v>
      </c>
      <c r="N423">
        <f>DAY(tb_investimentos[[#This Row],[DATA]])</f>
        <v>15</v>
      </c>
      <c r="O423">
        <f t="shared" si="13"/>
        <v>25</v>
      </c>
      <c r="P423">
        <f>tb_investimentos[[#This Row],[PREÇO MÉDIO PONDERADO]]*tb_investimentos[[#This Row],[QUANTIDADE]]</f>
        <v>25</v>
      </c>
      <c r="Q423" s="58" t="str">
        <f ca="1">IFERROR(_xlfn.XLOOKUP(tb_investimentos[[#This Row],[DESCRIÇÃO]],tb_acoes[Símbolo do ticker],tb_acoes[Preço]),"")</f>
        <v/>
      </c>
      <c r="R423" s="58" t="str">
        <f ca="1">IFERROR(tb_investimentos[[#This Row],[QUANTIDADE]]*tb_investimentos[[#This Row],[PREÇO MERCADO]],"")</f>
        <v/>
      </c>
      <c r="S423" s="58" t="str">
        <f ca="1">IFERROR(tb_investimentos[[#This Row],[VALOR TOTAL MERCADO]]-tb_investimentos[[#This Row],[VALOR TOTAL PONDERADO]],"")</f>
        <v/>
      </c>
      <c r="T423" s="58" t="str">
        <f ca="1">IFERROR(_xlfn.XLOOKUP(tb_investimentos[[#This Row],[DESCRIÇÃO]],'INFO AÇÕES'!E:E,'INFO AÇÕES'!H:H),"")</f>
        <v/>
      </c>
      <c r="U423" s="59" t="str">
        <f ca="1">IFERROR((tb_investimentos[[#This Row],[VALOR TOTAL MERCADO]]-tb_investimentos[[#This Row],[VALOR TOTAL PONDERADO]])/tb_investimentos[[#This Row],[VALOR TOTAL PONDERADO]],"")</f>
        <v/>
      </c>
    </row>
    <row r="424" spans="2:21" hidden="1" x14ac:dyDescent="0.2">
      <c r="B424" s="13" t="s">
        <v>39</v>
      </c>
      <c r="C424" s="10">
        <v>46321</v>
      </c>
      <c r="D424" s="9" t="s">
        <v>11</v>
      </c>
      <c r="E424" s="11" t="str">
        <f ca="1">IF(tb_investimentos[[#This Row],[TIPO MOVIMENTAÇÃO]]="Aporte",_xlfn.XLOOKUP(tb_investimentos[[#This Row],[DESCRIÇÃO]],'INFO AÇÕES'!E:E,'INFO AÇÕES'!I:I),"BRL")</f>
        <v>BRL</v>
      </c>
      <c r="F424" s="73" t="s">
        <v>10</v>
      </c>
      <c r="G424" s="11">
        <v>2</v>
      </c>
      <c r="H424" s="12">
        <v>17.18</v>
      </c>
      <c r="I424" s="13" t="s">
        <v>58</v>
      </c>
      <c r="J424" s="51">
        <f t="shared" si="12"/>
        <v>34.36</v>
      </c>
      <c r="K424" s="11" t="s">
        <v>6</v>
      </c>
      <c r="L424">
        <f>MONTH(tb_investimentos[[#This Row],[DATA]])</f>
        <v>10</v>
      </c>
      <c r="M424">
        <f>YEAR(tb_investimentos[[#This Row],[DATA]])</f>
        <v>2026</v>
      </c>
      <c r="N424">
        <f>DAY(tb_investimentos[[#This Row],[DATA]])</f>
        <v>26</v>
      </c>
      <c r="O424">
        <f t="shared" si="13"/>
        <v>19.0425</v>
      </c>
      <c r="P424">
        <f>tb_investimentos[[#This Row],[PREÇO MÉDIO PONDERADO]]*tb_investimentos[[#This Row],[QUANTIDADE]]</f>
        <v>38.085000000000001</v>
      </c>
      <c r="Q424" s="58">
        <f ca="1">IFERROR(_xlfn.XLOOKUP(tb_investimentos[[#This Row],[DESCRIÇÃO]],tb_acoes[Símbolo do ticker],tb_acoes[Preço]),"")</f>
        <v>17.809999999999999</v>
      </c>
      <c r="R424" s="58">
        <f ca="1">IFERROR(tb_investimentos[[#This Row],[QUANTIDADE]]*tb_investimentos[[#This Row],[PREÇO MERCADO]],"")</f>
        <v>35.619999999999997</v>
      </c>
      <c r="S424" s="58">
        <f ca="1">IFERROR(tb_investimentos[[#This Row],[VALOR TOTAL MERCADO]]-tb_investimentos[[#This Row],[VALOR TOTAL PONDERADO]],"")</f>
        <v>-2.4650000000000034</v>
      </c>
      <c r="T424" s="58">
        <f ca="1">IFERROR(_xlfn.XLOOKUP(tb_investimentos[[#This Row],[DESCRIÇÃO]],'INFO AÇÕES'!E:E,'INFO AÇÕES'!H:H),"")</f>
        <v>1.9462E-2</v>
      </c>
      <c r="U424" s="59">
        <f ca="1">IFERROR((tb_investimentos[[#This Row],[VALOR TOTAL MERCADO]]-tb_investimentos[[#This Row],[VALOR TOTAL PONDERADO]])/tb_investimentos[[#This Row],[VALOR TOTAL PONDERADO]],"")</f>
        <v>-6.4723644479453946E-2</v>
      </c>
    </row>
    <row r="425" spans="2:21" hidden="1" x14ac:dyDescent="0.2">
      <c r="B425" s="13" t="s">
        <v>39</v>
      </c>
      <c r="C425" s="10">
        <v>46321</v>
      </c>
      <c r="D425" s="9" t="s">
        <v>7</v>
      </c>
      <c r="E425" s="11" t="str">
        <f ca="1">IF(tb_investimentos[[#This Row],[TIPO MOVIMENTAÇÃO]]="Aporte",_xlfn.XLOOKUP(tb_investimentos[[#This Row],[DESCRIÇÃO]],'INFO AÇÕES'!E:E,'INFO AÇÕES'!I:I),"BRL")</f>
        <v>BRL</v>
      </c>
      <c r="F425" s="73" t="s">
        <v>5</v>
      </c>
      <c r="G425" s="11">
        <v>4</v>
      </c>
      <c r="H425" s="12">
        <v>8.9600000000000009</v>
      </c>
      <c r="I425" s="13" t="s">
        <v>58</v>
      </c>
      <c r="J425" s="51">
        <f t="shared" si="12"/>
        <v>35.840000000000003</v>
      </c>
      <c r="K425" s="11" t="s">
        <v>6</v>
      </c>
      <c r="L425">
        <f>MONTH(tb_investimentos[[#This Row],[DATA]])</f>
        <v>10</v>
      </c>
      <c r="M425">
        <f>YEAR(tb_investimentos[[#This Row],[DATA]])</f>
        <v>2026</v>
      </c>
      <c r="N425">
        <f>DAY(tb_investimentos[[#This Row],[DATA]])</f>
        <v>26</v>
      </c>
      <c r="O425">
        <f t="shared" si="13"/>
        <v>9.1778571428571443</v>
      </c>
      <c r="P425">
        <f>tb_investimentos[[#This Row],[PREÇO MÉDIO PONDERADO]]*tb_investimentos[[#This Row],[QUANTIDADE]]</f>
        <v>36.711428571428577</v>
      </c>
      <c r="Q425" s="58">
        <f ca="1">IFERROR(_xlfn.XLOOKUP(tb_investimentos[[#This Row],[DESCRIÇÃO]],tb_acoes[Símbolo do ticker],tb_acoes[Preço]),"")</f>
        <v>9.02</v>
      </c>
      <c r="R425" s="58">
        <f ca="1">IFERROR(tb_investimentos[[#This Row],[QUANTIDADE]]*tb_investimentos[[#This Row],[PREÇO MERCADO]],"")</f>
        <v>36.08</v>
      </c>
      <c r="S425" s="58">
        <f ca="1">IFERROR(tb_investimentos[[#This Row],[VALOR TOTAL MERCADO]]-tb_investimentos[[#This Row],[VALOR TOTAL PONDERADO]],"")</f>
        <v>-0.63142857142857878</v>
      </c>
      <c r="T425" s="58">
        <f ca="1">IFERROR(_xlfn.XLOOKUP(tb_investimentos[[#This Row],[DESCRIÇÃO]],'INFO AÇÕES'!E:E,'INFO AÇÕES'!H:H),"")</f>
        <v>-9.8790000000000006E-3</v>
      </c>
      <c r="U425" s="59">
        <f ca="1">IFERROR((tb_investimentos[[#This Row],[VALOR TOTAL MERCADO]]-tb_investimentos[[#This Row],[VALOR TOTAL PONDERADO]])/tb_investimentos[[#This Row],[VALOR TOTAL PONDERADO]],"")</f>
        <v>-1.7199782084209084E-2</v>
      </c>
    </row>
    <row r="426" spans="2:21" hidden="1" x14ac:dyDescent="0.2">
      <c r="B426" s="13" t="s">
        <v>39</v>
      </c>
      <c r="C426" s="10">
        <v>46321</v>
      </c>
      <c r="D426" s="9" t="s">
        <v>8</v>
      </c>
      <c r="E426" s="11" t="str">
        <f ca="1">IF(tb_investimentos[[#This Row],[TIPO MOVIMENTAÇÃO]]="Aporte",_xlfn.XLOOKUP(tb_investimentos[[#This Row],[DESCRIÇÃO]],'INFO AÇÕES'!E:E,'INFO AÇÕES'!I:I),"BRL")</f>
        <v>BRL</v>
      </c>
      <c r="F426" s="73" t="s">
        <v>5</v>
      </c>
      <c r="G426" s="11">
        <v>2</v>
      </c>
      <c r="H426" s="12">
        <v>8.6999999999999993</v>
      </c>
      <c r="I426" s="13" t="s">
        <v>58</v>
      </c>
      <c r="J426" s="51">
        <f t="shared" si="12"/>
        <v>17.399999999999999</v>
      </c>
      <c r="K426" s="11" t="s">
        <v>6</v>
      </c>
      <c r="L426">
        <f>MONTH(tb_investimentos[[#This Row],[DATA]])</f>
        <v>10</v>
      </c>
      <c r="M426">
        <f>YEAR(tb_investimentos[[#This Row],[DATA]])</f>
        <v>2026</v>
      </c>
      <c r="N426">
        <f>DAY(tb_investimentos[[#This Row],[DATA]])</f>
        <v>26</v>
      </c>
      <c r="O426">
        <f t="shared" si="13"/>
        <v>8.98</v>
      </c>
      <c r="P426">
        <f>tb_investimentos[[#This Row],[PREÇO MÉDIO PONDERADO]]*tb_investimentos[[#This Row],[QUANTIDADE]]</f>
        <v>17.96</v>
      </c>
      <c r="Q426" s="58">
        <f ca="1">IFERROR(_xlfn.XLOOKUP(tb_investimentos[[#This Row],[DESCRIÇÃO]],tb_acoes[Símbolo do ticker],tb_acoes[Preço]),"")</f>
        <v>8.85</v>
      </c>
      <c r="R426" s="58">
        <f ca="1">IFERROR(tb_investimentos[[#This Row],[QUANTIDADE]]*tb_investimentos[[#This Row],[PREÇO MERCADO]],"")</f>
        <v>17.7</v>
      </c>
      <c r="S426" s="58">
        <f ca="1">IFERROR(tb_investimentos[[#This Row],[VALOR TOTAL MERCADO]]-tb_investimentos[[#This Row],[VALOR TOTAL PONDERADO]],"")</f>
        <v>-0.26000000000000156</v>
      </c>
      <c r="T426" s="58">
        <f ca="1">IFERROR(_xlfn.XLOOKUP(tb_investimentos[[#This Row],[DESCRIÇÃO]],'INFO AÇÕES'!E:E,'INFO AÇÕES'!H:H),"")</f>
        <v>-1.4477E-2</v>
      </c>
      <c r="U426" s="59">
        <f ca="1">IFERROR((tb_investimentos[[#This Row],[VALOR TOTAL MERCADO]]-tb_investimentos[[#This Row],[VALOR TOTAL PONDERADO]])/tb_investimentos[[#This Row],[VALOR TOTAL PONDERADO]],"")</f>
        <v>-1.4476614699331935E-2</v>
      </c>
    </row>
    <row r="427" spans="2:21" hidden="1" x14ac:dyDescent="0.2">
      <c r="B427" s="13" t="s">
        <v>39</v>
      </c>
      <c r="C427" s="10">
        <v>46321</v>
      </c>
      <c r="D427" s="9" t="s">
        <v>12</v>
      </c>
      <c r="E427" s="11" t="str">
        <f ca="1">IF(tb_investimentos[[#This Row],[TIPO MOVIMENTAÇÃO]]="Aporte",_xlfn.XLOOKUP(tb_investimentos[[#This Row],[DESCRIÇÃO]],'INFO AÇÕES'!E:E,'INFO AÇÕES'!I:I),"BRL")</f>
        <v>BRL</v>
      </c>
      <c r="F427" s="73" t="s">
        <v>10</v>
      </c>
      <c r="G427" s="11">
        <v>3</v>
      </c>
      <c r="H427" s="12">
        <v>13.43</v>
      </c>
      <c r="I427" s="13" t="s">
        <v>58</v>
      </c>
      <c r="J427" s="51">
        <f t="shared" si="12"/>
        <v>40.29</v>
      </c>
      <c r="K427" s="11" t="s">
        <v>6</v>
      </c>
      <c r="L427">
        <f>MONTH(tb_investimentos[[#This Row],[DATA]])</f>
        <v>10</v>
      </c>
      <c r="M427">
        <f>YEAR(tb_investimentos[[#This Row],[DATA]])</f>
        <v>2026</v>
      </c>
      <c r="N427">
        <f>DAY(tb_investimentos[[#This Row],[DATA]])</f>
        <v>26</v>
      </c>
      <c r="O427">
        <f t="shared" si="13"/>
        <v>13.9275</v>
      </c>
      <c r="P427">
        <f>tb_investimentos[[#This Row],[PREÇO MÉDIO PONDERADO]]*tb_investimentos[[#This Row],[QUANTIDADE]]</f>
        <v>41.782499999999999</v>
      </c>
      <c r="Q427" s="58">
        <f ca="1">IFERROR(_xlfn.XLOOKUP(tb_investimentos[[#This Row],[DESCRIÇÃO]],tb_acoes[Símbolo do ticker],tb_acoes[Preço]),"")</f>
        <v>13.97</v>
      </c>
      <c r="R427" s="58">
        <f ca="1">IFERROR(tb_investimentos[[#This Row],[QUANTIDADE]]*tb_investimentos[[#This Row],[PREÇO MERCADO]],"")</f>
        <v>41.910000000000004</v>
      </c>
      <c r="S427" s="58">
        <f ca="1">IFERROR(tb_investimentos[[#This Row],[VALOR TOTAL MERCADO]]-tb_investimentos[[#This Row],[VALOR TOTAL PONDERADO]],"")</f>
        <v>0.12750000000000483</v>
      </c>
      <c r="T427" s="58">
        <f ca="1">IFERROR(_xlfn.XLOOKUP(tb_investimentos[[#This Row],[DESCRIÇÃO]],'INFO AÇÕES'!E:E,'INFO AÇÕES'!H:H),"")</f>
        <v>-9.2200000000000008E-3</v>
      </c>
      <c r="U427" s="59">
        <f ca="1">IFERROR((tb_investimentos[[#This Row],[VALOR TOTAL MERCADO]]-tb_investimentos[[#This Row],[VALOR TOTAL PONDERADO]])/tb_investimentos[[#This Row],[VALOR TOTAL PONDERADO]],"")</f>
        <v>3.0515167833424241E-3</v>
      </c>
    </row>
    <row r="428" spans="2:21" hidden="1" x14ac:dyDescent="0.2">
      <c r="B428" s="13" t="s">
        <v>39</v>
      </c>
      <c r="C428" s="10">
        <v>46321</v>
      </c>
      <c r="D428" s="9" t="s">
        <v>24</v>
      </c>
      <c r="E428" s="11" t="str">
        <f ca="1">IF(tb_investimentos[[#This Row],[TIPO MOVIMENTAÇÃO]]="Aporte",_xlfn.XLOOKUP(tb_investimentos[[#This Row],[DESCRIÇÃO]],'INFO AÇÕES'!E:E,'INFO AÇÕES'!I:I),"BRL")</f>
        <v>BRL</v>
      </c>
      <c r="F428" s="73" t="s">
        <v>10</v>
      </c>
      <c r="G428" s="11">
        <v>1</v>
      </c>
      <c r="H428" s="12">
        <v>6.98</v>
      </c>
      <c r="I428" s="13" t="s">
        <v>58</v>
      </c>
      <c r="J428" s="51">
        <f t="shared" si="12"/>
        <v>6.98</v>
      </c>
      <c r="K428" s="11" t="s">
        <v>6</v>
      </c>
      <c r="L428">
        <f>MONTH(tb_investimentos[[#This Row],[DATA]])</f>
        <v>10</v>
      </c>
      <c r="M428">
        <f>YEAR(tb_investimentos[[#This Row],[DATA]])</f>
        <v>2026</v>
      </c>
      <c r="N428">
        <f>DAY(tb_investimentos[[#This Row],[DATA]])</f>
        <v>26</v>
      </c>
      <c r="O428">
        <f t="shared" si="13"/>
        <v>7.2909999999999995</v>
      </c>
      <c r="P428">
        <f>tb_investimentos[[#This Row],[PREÇO MÉDIO PONDERADO]]*tb_investimentos[[#This Row],[QUANTIDADE]]</f>
        <v>7.2909999999999995</v>
      </c>
      <c r="Q428" s="58">
        <f ca="1">IFERROR(_xlfn.XLOOKUP(tb_investimentos[[#This Row],[DESCRIÇÃO]],tb_acoes[Símbolo do ticker],tb_acoes[Preço]),"")</f>
        <v>6.86</v>
      </c>
      <c r="R428" s="58">
        <f ca="1">IFERROR(tb_investimentos[[#This Row],[QUANTIDADE]]*tb_investimentos[[#This Row],[PREÇO MERCADO]],"")</f>
        <v>6.86</v>
      </c>
      <c r="S428" s="58">
        <f ca="1">IFERROR(tb_investimentos[[#This Row],[VALOR TOTAL MERCADO]]-tb_investimentos[[#This Row],[VALOR TOTAL PONDERADO]],"")</f>
        <v>-0.43099999999999916</v>
      </c>
      <c r="T428" s="58">
        <f ca="1">IFERROR(_xlfn.XLOOKUP(tb_investimentos[[#This Row],[DESCRIÇÃO]],'INFO AÇÕES'!E:E,'INFO AÇÕES'!H:H),"")</f>
        <v>8.8240000000000002E-3</v>
      </c>
      <c r="U428" s="59">
        <f ca="1">IFERROR((tb_investimentos[[#This Row],[VALOR TOTAL MERCADO]]-tb_investimentos[[#This Row],[VALOR TOTAL PONDERADO]])/tb_investimentos[[#This Row],[VALOR TOTAL PONDERADO]],"")</f>
        <v>-5.9113976134960798E-2</v>
      </c>
    </row>
    <row r="429" spans="2:21" hidden="1" x14ac:dyDescent="0.2">
      <c r="B429" s="13" t="s">
        <v>39</v>
      </c>
      <c r="C429" s="10">
        <v>46321</v>
      </c>
      <c r="D429" s="9" t="s">
        <v>25</v>
      </c>
      <c r="E429" s="11" t="str">
        <f ca="1">IF(tb_investimentos[[#This Row],[TIPO MOVIMENTAÇÃO]]="Aporte",_xlfn.XLOOKUP(tb_investimentos[[#This Row],[DESCRIÇÃO]],'INFO AÇÕES'!E:E,'INFO AÇÕES'!I:I),"BRL")</f>
        <v>BRL</v>
      </c>
      <c r="F429" s="73" t="s">
        <v>10</v>
      </c>
      <c r="G429" s="11">
        <v>1</v>
      </c>
      <c r="H429" s="12">
        <v>26.06</v>
      </c>
      <c r="I429" s="13" t="s">
        <v>58</v>
      </c>
      <c r="J429" s="51">
        <f t="shared" si="12"/>
        <v>26.06</v>
      </c>
      <c r="K429" s="11" t="s">
        <v>6</v>
      </c>
      <c r="L429">
        <f>MONTH(tb_investimentos[[#This Row],[DATA]])</f>
        <v>10</v>
      </c>
      <c r="M429">
        <f>YEAR(tb_investimentos[[#This Row],[DATA]])</f>
        <v>2026</v>
      </c>
      <c r="N429">
        <f>DAY(tb_investimentos[[#This Row],[DATA]])</f>
        <v>26</v>
      </c>
      <c r="O429">
        <f t="shared" si="13"/>
        <v>29.335000000000001</v>
      </c>
      <c r="P429">
        <f>tb_investimentos[[#This Row],[PREÇO MÉDIO PONDERADO]]*tb_investimentos[[#This Row],[QUANTIDADE]]</f>
        <v>29.335000000000001</v>
      </c>
      <c r="Q429" s="58">
        <f ca="1">IFERROR(_xlfn.XLOOKUP(tb_investimentos[[#This Row],[DESCRIÇÃO]],tb_acoes[Símbolo do ticker],tb_acoes[Preço]),"")</f>
        <v>25.43</v>
      </c>
      <c r="R429" s="58">
        <f ca="1">IFERROR(tb_investimentos[[#This Row],[QUANTIDADE]]*tb_investimentos[[#This Row],[PREÇO MERCADO]],"")</f>
        <v>25.43</v>
      </c>
      <c r="S429" s="58">
        <f ca="1">IFERROR(tb_investimentos[[#This Row],[VALOR TOTAL MERCADO]]-tb_investimentos[[#This Row],[VALOR TOTAL PONDERADO]],"")</f>
        <v>-3.9050000000000011</v>
      </c>
      <c r="T429" s="58">
        <f ca="1">IFERROR(_xlfn.XLOOKUP(tb_investimentos[[#This Row],[DESCRIÇÃO]],'INFO AÇÕES'!E:E,'INFO AÇÕES'!H:H),"")</f>
        <v>6.332E-3</v>
      </c>
      <c r="U429" s="59">
        <f ca="1">IFERROR((tb_investimentos[[#This Row],[VALOR TOTAL MERCADO]]-tb_investimentos[[#This Row],[VALOR TOTAL PONDERADO]])/tb_investimentos[[#This Row],[VALOR TOTAL PONDERADO]],"")</f>
        <v>-0.13311743650928928</v>
      </c>
    </row>
    <row r="430" spans="2:21" hidden="1" x14ac:dyDescent="0.2">
      <c r="B430" s="13" t="s">
        <v>39</v>
      </c>
      <c r="C430" s="10">
        <v>46321</v>
      </c>
      <c r="D430" s="9" t="s">
        <v>23</v>
      </c>
      <c r="E430" s="11" t="str">
        <f ca="1">IF(tb_investimentos[[#This Row],[TIPO MOVIMENTAÇÃO]]="Aporte",_xlfn.XLOOKUP(tb_investimentos[[#This Row],[DESCRIÇÃO]],'INFO AÇÕES'!E:E,'INFO AÇÕES'!I:I),"BRL")</f>
        <v>BRL</v>
      </c>
      <c r="F430" s="73" t="s">
        <v>10</v>
      </c>
      <c r="G430" s="11">
        <v>1</v>
      </c>
      <c r="H430" s="12">
        <v>37.11</v>
      </c>
      <c r="I430" s="13" t="s">
        <v>58</v>
      </c>
      <c r="J430" s="51">
        <f t="shared" si="12"/>
        <v>37.11</v>
      </c>
      <c r="K430" s="11" t="s">
        <v>6</v>
      </c>
      <c r="L430">
        <f>MONTH(tb_investimentos[[#This Row],[DATA]])</f>
        <v>10</v>
      </c>
      <c r="M430">
        <f>YEAR(tb_investimentos[[#This Row],[DATA]])</f>
        <v>2026</v>
      </c>
      <c r="N430">
        <f>DAY(tb_investimentos[[#This Row],[DATA]])</f>
        <v>26</v>
      </c>
      <c r="O430">
        <f t="shared" si="13"/>
        <v>40.853333333333332</v>
      </c>
      <c r="P430">
        <f>tb_investimentos[[#This Row],[PREÇO MÉDIO PONDERADO]]*tb_investimentos[[#This Row],[QUANTIDADE]]</f>
        <v>40.853333333333332</v>
      </c>
      <c r="Q430" s="58">
        <f ca="1">IFERROR(_xlfn.XLOOKUP(tb_investimentos[[#This Row],[DESCRIÇÃO]],tb_acoes[Símbolo do ticker],tb_acoes[Preço]),"")</f>
        <v>35.67</v>
      </c>
      <c r="R430" s="58">
        <f ca="1">IFERROR(tb_investimentos[[#This Row],[QUANTIDADE]]*tb_investimentos[[#This Row],[PREÇO MERCADO]],"")</f>
        <v>35.67</v>
      </c>
      <c r="S430" s="58">
        <f ca="1">IFERROR(tb_investimentos[[#This Row],[VALOR TOTAL MERCADO]]-tb_investimentos[[#This Row],[VALOR TOTAL PONDERADO]],"")</f>
        <v>-5.18333333333333</v>
      </c>
      <c r="T430" s="58">
        <f ca="1">IFERROR(_xlfn.XLOOKUP(tb_investimentos[[#This Row],[DESCRIÇÃO]],'INFO AÇÕES'!E:E,'INFO AÇÕES'!H:H),"")</f>
        <v>2.3822999999999997E-2</v>
      </c>
      <c r="U430" s="59">
        <f ca="1">IFERROR((tb_investimentos[[#This Row],[VALOR TOTAL MERCADO]]-tb_investimentos[[#This Row],[VALOR TOTAL PONDERADO]])/tb_investimentos[[#This Row],[VALOR TOTAL PONDERADO]],"")</f>
        <v>-0.12687663185378584</v>
      </c>
    </row>
    <row r="431" spans="2:21" hidden="1" x14ac:dyDescent="0.2">
      <c r="B431" s="13" t="s">
        <v>39</v>
      </c>
      <c r="C431" s="10">
        <v>46321</v>
      </c>
      <c r="D431" s="98" t="s">
        <v>134</v>
      </c>
      <c r="E431" s="11" t="str">
        <f ca="1">IF(tb_investimentos[[#This Row],[TIPO MOVIMENTAÇÃO]]="Aporte",_xlfn.XLOOKUP(tb_investimentos[[#This Row],[DESCRIÇÃO]],'INFO AÇÕES'!E:E,'INFO AÇÕES'!I:I),"BRL")</f>
        <v>BRL</v>
      </c>
      <c r="F431" s="73" t="s">
        <v>5</v>
      </c>
      <c r="I431" s="13" t="s">
        <v>58</v>
      </c>
      <c r="J431" s="51">
        <f t="shared" ref="J431:J436" si="14">H431*G431</f>
        <v>0</v>
      </c>
      <c r="K431" s="11" t="s">
        <v>6</v>
      </c>
      <c r="L431">
        <f>MONTH(tb_investimentos[[#This Row],[DATA]])</f>
        <v>10</v>
      </c>
      <c r="M431">
        <f>YEAR(tb_investimentos[[#This Row],[DATA]])</f>
        <v>2026</v>
      </c>
      <c r="N431">
        <f>DAY(tb_investimentos[[#This Row],[DATA]])</f>
        <v>26</v>
      </c>
      <c r="O431" t="e">
        <f t="shared" si="13"/>
        <v>#DIV/0!</v>
      </c>
      <c r="P431" t="e">
        <f>tb_investimentos[[#This Row],[PREÇO MÉDIO PONDERADO]]*tb_investimentos[[#This Row],[QUANTIDADE]]</f>
        <v>#DIV/0!</v>
      </c>
      <c r="Q431" s="58">
        <f ca="1">IFERROR(_xlfn.XLOOKUP(tb_investimentos[[#This Row],[DESCRIÇÃO]],tb_acoes[Símbolo do ticker],tb_acoes[Preço]),"")</f>
        <v>91.8</v>
      </c>
      <c r="R431" s="58">
        <f ca="1">IFERROR(tb_investimentos[[#This Row],[QUANTIDADE]]*tb_investimentos[[#This Row],[PREÇO MERCADO]],"")</f>
        <v>0</v>
      </c>
      <c r="S431" s="58" t="str">
        <f ca="1">IFERROR(tb_investimentos[[#This Row],[VALOR TOTAL MERCADO]]-tb_investimentos[[#This Row],[VALOR TOTAL PONDERADO]],"")</f>
        <v/>
      </c>
      <c r="T431" s="99">
        <f ca="1">IFERROR(_xlfn.XLOOKUP(tb_investimentos[[#This Row],[DESCRIÇÃO]],'INFO AÇÕES'!E:E,'INFO AÇÕES'!H:H),"")</f>
        <v>-1.4175E-2</v>
      </c>
      <c r="U431" s="59" t="str">
        <f ca="1">IFERROR((tb_investimentos[[#This Row],[VALOR TOTAL MERCADO]]-tb_investimentos[[#This Row],[VALOR TOTAL PONDERADO]])/tb_investimentos[[#This Row],[VALOR TOTAL PONDERADO]],"")</f>
        <v/>
      </c>
    </row>
    <row r="432" spans="2:21" hidden="1" x14ac:dyDescent="0.2">
      <c r="B432" s="13" t="s">
        <v>39</v>
      </c>
      <c r="C432" s="10">
        <v>46321</v>
      </c>
      <c r="D432" s="98" t="s">
        <v>135</v>
      </c>
      <c r="E432" s="11" t="str">
        <f ca="1">IF(tb_investimentos[[#This Row],[TIPO MOVIMENTAÇÃO]]="Aporte",_xlfn.XLOOKUP(tb_investimentos[[#This Row],[DESCRIÇÃO]],'INFO AÇÕES'!E:E,'INFO AÇÕES'!I:I),"BRL")</f>
        <v>BRL</v>
      </c>
      <c r="F432" s="73" t="s">
        <v>5</v>
      </c>
      <c r="I432" s="13" t="s">
        <v>58</v>
      </c>
      <c r="J432" s="51">
        <f t="shared" si="14"/>
        <v>0</v>
      </c>
      <c r="K432" s="11" t="s">
        <v>6</v>
      </c>
      <c r="L432">
        <f>MONTH(tb_investimentos[[#This Row],[DATA]])</f>
        <v>10</v>
      </c>
      <c r="M432">
        <f>YEAR(tb_investimentos[[#This Row],[DATA]])</f>
        <v>2026</v>
      </c>
      <c r="N432">
        <f>DAY(tb_investimentos[[#This Row],[DATA]])</f>
        <v>26</v>
      </c>
      <c r="O432" t="e">
        <f t="shared" si="13"/>
        <v>#DIV/0!</v>
      </c>
      <c r="P432" t="e">
        <f>tb_investimentos[[#This Row],[PREÇO MÉDIO PONDERADO]]*tb_investimentos[[#This Row],[QUANTIDADE]]</f>
        <v>#DIV/0!</v>
      </c>
      <c r="Q432" s="58">
        <f ca="1">IFERROR(_xlfn.XLOOKUP(tb_investimentos[[#This Row],[DESCRIÇÃO]],tb_acoes[Símbolo do ticker],tb_acoes[Preço]),"")</f>
        <v>149</v>
      </c>
      <c r="R432" s="58">
        <f ca="1">IFERROR(tb_investimentos[[#This Row],[QUANTIDADE]]*tb_investimentos[[#This Row],[PREÇO MERCADO]],"")</f>
        <v>0</v>
      </c>
      <c r="S432" s="58" t="str">
        <f ca="1">IFERROR(tb_investimentos[[#This Row],[VALOR TOTAL MERCADO]]-tb_investimentos[[#This Row],[VALOR TOTAL PONDERADO]],"")</f>
        <v/>
      </c>
      <c r="T432" s="99">
        <f ca="1">IFERROR(_xlfn.XLOOKUP(tb_investimentos[[#This Row],[DESCRIÇÃO]],'INFO AÇÕES'!E:E,'INFO AÇÕES'!H:H),"")</f>
        <v>-1.7798000000000001E-2</v>
      </c>
      <c r="U432" s="59" t="str">
        <f ca="1">IFERROR((tb_investimentos[[#This Row],[VALOR TOTAL MERCADO]]-tb_investimentos[[#This Row],[VALOR TOTAL PONDERADO]])/tb_investimentos[[#This Row],[VALOR TOTAL PONDERADO]],"")</f>
        <v/>
      </c>
    </row>
    <row r="433" spans="2:21" hidden="1" x14ac:dyDescent="0.2">
      <c r="B433" s="13" t="s">
        <v>39</v>
      </c>
      <c r="C433" s="10">
        <v>46321</v>
      </c>
      <c r="D433" s="98" t="s">
        <v>136</v>
      </c>
      <c r="E433" s="11" t="str">
        <f ca="1">IF(tb_investimentos[[#This Row],[TIPO MOVIMENTAÇÃO]]="Aporte",_xlfn.XLOOKUP(tb_investimentos[[#This Row],[DESCRIÇÃO]],'INFO AÇÕES'!E:E,'INFO AÇÕES'!I:I),"BRL")</f>
        <v>BRL</v>
      </c>
      <c r="F433" s="73" t="s">
        <v>5</v>
      </c>
      <c r="I433" s="13" t="s">
        <v>58</v>
      </c>
      <c r="J433" s="51">
        <f t="shared" si="14"/>
        <v>0</v>
      </c>
      <c r="K433" s="11" t="s">
        <v>6</v>
      </c>
      <c r="L433">
        <f>MONTH(tb_investimentos[[#This Row],[DATA]])</f>
        <v>10</v>
      </c>
      <c r="M433">
        <f>YEAR(tb_investimentos[[#This Row],[DATA]])</f>
        <v>2026</v>
      </c>
      <c r="N433">
        <f>DAY(tb_investimentos[[#This Row],[DATA]])</f>
        <v>26</v>
      </c>
      <c r="O433" t="e">
        <f t="shared" si="13"/>
        <v>#DIV/0!</v>
      </c>
      <c r="P433" t="e">
        <f>tb_investimentos[[#This Row],[PREÇO MÉDIO PONDERADO]]*tb_investimentos[[#This Row],[QUANTIDADE]]</f>
        <v>#DIV/0!</v>
      </c>
      <c r="Q433" s="58">
        <f ca="1">IFERROR(_xlfn.XLOOKUP(tb_investimentos[[#This Row],[DESCRIÇÃO]],tb_acoes[Símbolo do ticker],tb_acoes[Preço]),"")</f>
        <v>151.44999999999999</v>
      </c>
      <c r="R433" s="58">
        <f ca="1">IFERROR(tb_investimentos[[#This Row],[QUANTIDADE]]*tb_investimentos[[#This Row],[PREÇO MERCADO]],"")</f>
        <v>0</v>
      </c>
      <c r="S433" s="58" t="str">
        <f ca="1">IFERROR(tb_investimentos[[#This Row],[VALOR TOTAL MERCADO]]-tb_investimentos[[#This Row],[VALOR TOTAL PONDERADO]],"")</f>
        <v/>
      </c>
      <c r="T433" s="99">
        <f ca="1">IFERROR(_xlfn.XLOOKUP(tb_investimentos[[#This Row],[DESCRIÇÃO]],'INFO AÇÕES'!E:E,'INFO AÇÕES'!H:H),"")</f>
        <v>-1.3033999999999999E-2</v>
      </c>
      <c r="U433" s="59" t="str">
        <f ca="1">IFERROR((tb_investimentos[[#This Row],[VALOR TOTAL MERCADO]]-tb_investimentos[[#This Row],[VALOR TOTAL PONDERADO]])/tb_investimentos[[#This Row],[VALOR TOTAL PONDERADO]],"")</f>
        <v/>
      </c>
    </row>
    <row r="434" spans="2:21" hidden="1" x14ac:dyDescent="0.2">
      <c r="B434" s="13" t="s">
        <v>39</v>
      </c>
      <c r="C434" s="10">
        <v>46321</v>
      </c>
      <c r="D434" s="98" t="s">
        <v>137</v>
      </c>
      <c r="E434" s="11" t="str">
        <f ca="1">IF(tb_investimentos[[#This Row],[TIPO MOVIMENTAÇÃO]]="Aporte",_xlfn.XLOOKUP(tb_investimentos[[#This Row],[DESCRIÇÃO]],'INFO AÇÕES'!E:E,'INFO AÇÕES'!I:I),"BRL")</f>
        <v>BRL</v>
      </c>
      <c r="F434" s="73" t="s">
        <v>5</v>
      </c>
      <c r="I434" s="13" t="s">
        <v>58</v>
      </c>
      <c r="J434" s="51">
        <f t="shared" si="14"/>
        <v>0</v>
      </c>
      <c r="K434" s="11" t="s">
        <v>6</v>
      </c>
      <c r="L434">
        <f>MONTH(tb_investimentos[[#This Row],[DATA]])</f>
        <v>10</v>
      </c>
      <c r="M434">
        <f>YEAR(tb_investimentos[[#This Row],[DATA]])</f>
        <v>2026</v>
      </c>
      <c r="N434">
        <f>DAY(tb_investimentos[[#This Row],[DATA]])</f>
        <v>26</v>
      </c>
      <c r="O434" t="e">
        <f t="shared" si="13"/>
        <v>#DIV/0!</v>
      </c>
      <c r="P434" t="e">
        <f>tb_investimentos[[#This Row],[PREÇO MÉDIO PONDERADO]]*tb_investimentos[[#This Row],[QUANTIDADE]]</f>
        <v>#DIV/0!</v>
      </c>
      <c r="Q434" s="58">
        <f ca="1">IFERROR(_xlfn.XLOOKUP(tb_investimentos[[#This Row],[DESCRIÇÃO]],tb_acoes[Símbolo do ticker],tb_acoes[Preço]),"")</f>
        <v>98.61</v>
      </c>
      <c r="R434" s="58">
        <f ca="1">IFERROR(tb_investimentos[[#This Row],[QUANTIDADE]]*tb_investimentos[[#This Row],[PREÇO MERCADO]],"")</f>
        <v>0</v>
      </c>
      <c r="S434" s="58" t="str">
        <f ca="1">IFERROR(tb_investimentos[[#This Row],[VALOR TOTAL MERCADO]]-tb_investimentos[[#This Row],[VALOR TOTAL PONDERADO]],"")</f>
        <v/>
      </c>
      <c r="T434" s="99">
        <f ca="1">IFERROR(_xlfn.XLOOKUP(tb_investimentos[[#This Row],[DESCRIÇÃO]],'INFO AÇÕES'!E:E,'INFO AÇÕES'!H:H),"")</f>
        <v>-1.5377E-2</v>
      </c>
      <c r="U434" s="59" t="str">
        <f ca="1">IFERROR((tb_investimentos[[#This Row],[VALOR TOTAL MERCADO]]-tb_investimentos[[#This Row],[VALOR TOTAL PONDERADO]])/tb_investimentos[[#This Row],[VALOR TOTAL PONDERADO]],"")</f>
        <v/>
      </c>
    </row>
    <row r="435" spans="2:21" hidden="1" x14ac:dyDescent="0.2">
      <c r="B435" s="13" t="s">
        <v>39</v>
      </c>
      <c r="C435" s="10">
        <v>46321</v>
      </c>
      <c r="D435" s="98" t="s">
        <v>138</v>
      </c>
      <c r="E435" s="11" t="str">
        <f ca="1">IF(tb_investimentos[[#This Row],[TIPO MOVIMENTAÇÃO]]="Aporte",_xlfn.XLOOKUP(tb_investimentos[[#This Row],[DESCRIÇÃO]],'INFO AÇÕES'!E:E,'INFO AÇÕES'!I:I),"BRL")</f>
        <v>BRL</v>
      </c>
      <c r="F435" s="73" t="s">
        <v>5</v>
      </c>
      <c r="I435" s="13" t="s">
        <v>58</v>
      </c>
      <c r="J435" s="51">
        <f t="shared" si="14"/>
        <v>0</v>
      </c>
      <c r="K435" s="11" t="s">
        <v>6</v>
      </c>
      <c r="L435">
        <f>MONTH(tb_investimentos[[#This Row],[DATA]])</f>
        <v>10</v>
      </c>
      <c r="M435">
        <f>YEAR(tb_investimentos[[#This Row],[DATA]])</f>
        <v>2026</v>
      </c>
      <c r="N435">
        <f>DAY(tb_investimentos[[#This Row],[DATA]])</f>
        <v>26</v>
      </c>
      <c r="O435" t="e">
        <f t="shared" si="13"/>
        <v>#DIV/0!</v>
      </c>
      <c r="P435" t="e">
        <f>tb_investimentos[[#This Row],[PREÇO MÉDIO PONDERADO]]*tb_investimentos[[#This Row],[QUANTIDADE]]</f>
        <v>#DIV/0!</v>
      </c>
      <c r="Q435" s="58">
        <f ca="1">IFERROR(_xlfn.XLOOKUP(tb_investimentos[[#This Row],[DESCRIÇÃO]],tb_acoes[Símbolo do ticker],tb_acoes[Preço]),"")</f>
        <v>99.33</v>
      </c>
      <c r="R435" s="58">
        <f ca="1">IFERROR(tb_investimentos[[#This Row],[QUANTIDADE]]*tb_investimentos[[#This Row],[PREÇO MERCADO]],"")</f>
        <v>0</v>
      </c>
      <c r="S435" s="58" t="str">
        <f ca="1">IFERROR(tb_investimentos[[#This Row],[VALOR TOTAL MERCADO]]-tb_investimentos[[#This Row],[VALOR TOTAL PONDERADO]],"")</f>
        <v/>
      </c>
      <c r="T435" s="99">
        <f ca="1">IFERROR(_xlfn.XLOOKUP(tb_investimentos[[#This Row],[DESCRIÇÃO]],'INFO AÇÕES'!E:E,'INFO AÇÕES'!H:H),"")</f>
        <v>-8.6829999999999997E-3</v>
      </c>
      <c r="U435" s="59" t="str">
        <f ca="1">IFERROR((tb_investimentos[[#This Row],[VALOR TOTAL MERCADO]]-tb_investimentos[[#This Row],[VALOR TOTAL PONDERADO]])/tb_investimentos[[#This Row],[VALOR TOTAL PONDERADO]],"")</f>
        <v/>
      </c>
    </row>
    <row r="436" spans="2:21" x14ac:dyDescent="0.2">
      <c r="B436" s="13" t="s">
        <v>39</v>
      </c>
      <c r="C436" s="10">
        <v>46322</v>
      </c>
      <c r="D436" s="98" t="s">
        <v>139</v>
      </c>
      <c r="E436" s="11" t="str">
        <f ca="1">IF(tb_investimentos[[#This Row],[TIPO MOVIMENTAÇÃO]]="Aporte",_xlfn.XLOOKUP(tb_investimentos[[#This Row],[DESCRIÇÃO]],'INFO AÇÕES'!E:E,'INFO AÇÕES'!I:I),"BRL")</f>
        <v>BRL</v>
      </c>
      <c r="F436" s="73" t="s">
        <v>5</v>
      </c>
      <c r="G436" s="11">
        <v>1</v>
      </c>
      <c r="H436" s="12">
        <v>86.95</v>
      </c>
      <c r="I436" s="13" t="s">
        <v>58</v>
      </c>
      <c r="J436" s="51">
        <f t="shared" si="14"/>
        <v>86.95</v>
      </c>
      <c r="K436" s="11" t="s">
        <v>6</v>
      </c>
      <c r="L436">
        <f>MONTH(tb_investimentos[[#This Row],[DATA]])</f>
        <v>10</v>
      </c>
      <c r="M436">
        <f>YEAR(tb_investimentos[[#This Row],[DATA]])</f>
        <v>2026</v>
      </c>
      <c r="N436">
        <f>DAY(tb_investimentos[[#This Row],[DATA]])</f>
        <v>27</v>
      </c>
      <c r="O436">
        <f t="shared" si="13"/>
        <v>86.95</v>
      </c>
      <c r="P436">
        <f>tb_investimentos[[#This Row],[PREÇO MÉDIO PONDERADO]]*tb_investimentos[[#This Row],[QUANTIDADE]]</f>
        <v>86.95</v>
      </c>
      <c r="Q436" s="58">
        <f ca="1">IFERROR(_xlfn.XLOOKUP(tb_investimentos[[#This Row],[DESCRIÇÃO]],tb_acoes[Símbolo do ticker],tb_acoes[Preço]),"")</f>
        <v>86.67</v>
      </c>
      <c r="R436" s="58">
        <f ca="1">IFERROR(tb_investimentos[[#This Row],[QUANTIDADE]]*tb_investimentos[[#This Row],[PREÇO MERCADO]],"")</f>
        <v>86.67</v>
      </c>
      <c r="S436" s="58">
        <f ca="1">IFERROR(tb_investimentos[[#This Row],[VALOR TOTAL MERCADO]]-tb_investimentos[[#This Row],[VALOR TOTAL PONDERADO]],"")</f>
        <v>-0.28000000000000114</v>
      </c>
      <c r="T436" s="99">
        <f ca="1">IFERROR(_xlfn.XLOOKUP(tb_investimentos[[#This Row],[DESCRIÇÃO]],'INFO AÇÕES'!E:E,'INFO AÇÕES'!H:H),"")</f>
        <v>-1.5114000000000001E-2</v>
      </c>
      <c r="U436" s="59">
        <f ca="1">IFERROR((tb_investimentos[[#This Row],[VALOR TOTAL MERCADO]]-tb_investimentos[[#This Row],[VALOR TOTAL PONDERADO]])/tb_investimentos[[#This Row],[VALOR TOTAL PONDERADO]],"")</f>
        <v>-3.2202415181138717E-3</v>
      </c>
    </row>
    <row r="437" spans="2:21" hidden="1" x14ac:dyDescent="0.2">
      <c r="B437" s="13" t="s">
        <v>39</v>
      </c>
      <c r="C437" s="10">
        <v>46321</v>
      </c>
      <c r="D437" s="9" t="s">
        <v>140</v>
      </c>
      <c r="E437" s="11" t="str">
        <f ca="1">IF(tb_investimentos[[#This Row],[TIPO MOVIMENTAÇÃO]]="Aporte",_xlfn.XLOOKUP(tb_investimentos[[#This Row],[DESCRIÇÃO]],'INFO AÇÕES'!E:E,'INFO AÇÕES'!I:I),"BRL")</f>
        <v>BRL</v>
      </c>
      <c r="F437" s="73" t="s">
        <v>5</v>
      </c>
      <c r="I437" s="13" t="s">
        <v>58</v>
      </c>
      <c r="J437" s="51">
        <f>H437*G437</f>
        <v>0</v>
      </c>
      <c r="K437" s="11" t="s">
        <v>6</v>
      </c>
      <c r="L437">
        <f>MONTH(tb_investimentos[[#This Row],[DATA]])</f>
        <v>10</v>
      </c>
      <c r="M437">
        <f>YEAR(tb_investimentos[[#This Row],[DATA]])</f>
        <v>2026</v>
      </c>
      <c r="N437">
        <f>DAY(tb_investimentos[[#This Row],[DATA]])</f>
        <v>26</v>
      </c>
      <c r="O437" t="e">
        <f t="shared" si="13"/>
        <v>#DIV/0!</v>
      </c>
      <c r="P437" t="e">
        <f>tb_investimentos[[#This Row],[PREÇO MÉDIO PONDERADO]]*tb_investimentos[[#This Row],[QUANTIDADE]]</f>
        <v>#DIV/0!</v>
      </c>
      <c r="Q437" s="58">
        <f ca="1">IFERROR(_xlfn.XLOOKUP(tb_investimentos[[#This Row],[DESCRIÇÃO]],tb_acoes[Símbolo do ticker],tb_acoes[Preço]),"")</f>
        <v>105.28</v>
      </c>
      <c r="R437" s="58">
        <f ca="1">IFERROR(tb_investimentos[[#This Row],[QUANTIDADE]]*tb_investimentos[[#This Row],[PREÇO MERCADO]],"")</f>
        <v>0</v>
      </c>
      <c r="S437" s="58" t="str">
        <f ca="1">IFERROR(tb_investimentos[[#This Row],[VALOR TOTAL MERCADO]]-tb_investimentos[[#This Row],[VALOR TOTAL PONDERADO]],"")</f>
        <v/>
      </c>
      <c r="T437" s="99">
        <f ca="1">IFERROR(_xlfn.XLOOKUP(tb_investimentos[[#This Row],[DESCRIÇÃO]],'INFO AÇÕES'!E:E,'INFO AÇÕES'!H:H),"")</f>
        <v>9.3959999999999998E-3</v>
      </c>
      <c r="U437" s="59" t="str">
        <f ca="1">IFERROR((tb_investimentos[[#This Row],[VALOR TOTAL MERCADO]]-tb_investimentos[[#This Row],[VALOR TOTAL PONDERADO]])/tb_investimentos[[#This Row],[VALOR TOTAL PONDERADO]],"")</f>
        <v/>
      </c>
    </row>
    <row r="438" spans="2:21" hidden="1" x14ac:dyDescent="0.2">
      <c r="B438" s="13" t="s">
        <v>39</v>
      </c>
      <c r="C438" s="10">
        <v>46322</v>
      </c>
      <c r="D438" s="9" t="s">
        <v>23</v>
      </c>
      <c r="E438" s="11" t="str">
        <f ca="1">IF(tb_investimentos[[#This Row],[TIPO MOVIMENTAÇÃO]]="Aporte",_xlfn.XLOOKUP(tb_investimentos[[#This Row],[DESCRIÇÃO]],'INFO AÇÕES'!E:E,'INFO AÇÕES'!I:I),"BRL")</f>
        <v>BRL</v>
      </c>
      <c r="F438" s="73" t="s">
        <v>10</v>
      </c>
      <c r="G438" s="11">
        <v>1</v>
      </c>
      <c r="H438" s="12">
        <v>35.950000000000003</v>
      </c>
      <c r="I438" s="13" t="s">
        <v>58</v>
      </c>
      <c r="J438" s="51">
        <f t="shared" ref="J438" si="15">H438*G438</f>
        <v>35.950000000000003</v>
      </c>
      <c r="K438" s="11" t="s">
        <v>6</v>
      </c>
      <c r="L438">
        <f>MONTH(tb_investimentos[[#This Row],[DATA]])</f>
        <v>10</v>
      </c>
      <c r="M438">
        <f>YEAR(tb_investimentos[[#This Row],[DATA]])</f>
        <v>2026</v>
      </c>
      <c r="N438">
        <f>DAY(tb_investimentos[[#This Row],[DATA]])</f>
        <v>27</v>
      </c>
      <c r="O438">
        <f t="shared" ref="O438:O443" si="16">SUMIF($D$5:$D$10000, D438, $J$5:$J$10000) / SUMIF($D$5:$D$10000, D438, $G$5:$G$10000)</f>
        <v>40.853333333333332</v>
      </c>
      <c r="P438">
        <f>tb_investimentos[[#This Row],[PREÇO MÉDIO PONDERADO]]*tb_investimentos[[#This Row],[QUANTIDADE]]</f>
        <v>40.853333333333332</v>
      </c>
      <c r="Q438" s="58">
        <f ca="1">IFERROR(_xlfn.XLOOKUP(tb_investimentos[[#This Row],[DESCRIÇÃO]],tb_acoes[Símbolo do ticker],tb_acoes[Preço]),"")</f>
        <v>35.67</v>
      </c>
      <c r="R438" s="58">
        <f ca="1">IFERROR(tb_investimentos[[#This Row],[QUANTIDADE]]*tb_investimentos[[#This Row],[PREÇO MERCADO]],"")</f>
        <v>35.67</v>
      </c>
      <c r="S438" s="58">
        <f ca="1">IFERROR(tb_investimentos[[#This Row],[VALOR TOTAL MERCADO]]-tb_investimentos[[#This Row],[VALOR TOTAL PONDERADO]],"")</f>
        <v>-5.18333333333333</v>
      </c>
      <c r="T438" s="99">
        <f ca="1">IFERROR(_xlfn.XLOOKUP(tb_investimentos[[#This Row],[DESCRIÇÃO]],'INFO AÇÕES'!E:E,'INFO AÇÕES'!H:H),"")</f>
        <v>2.3822999999999997E-2</v>
      </c>
      <c r="U438" s="59">
        <f ca="1">IFERROR((tb_investimentos[[#This Row],[VALOR TOTAL MERCADO]]-tb_investimentos[[#This Row],[VALOR TOTAL PONDERADO]])/tb_investimentos[[#This Row],[VALOR TOTAL PONDERADO]],"")</f>
        <v>-0.12687663185378584</v>
      </c>
    </row>
    <row r="439" spans="2:21" hidden="1" x14ac:dyDescent="0.2">
      <c r="B439" s="13" t="s">
        <v>39</v>
      </c>
      <c r="C439" s="10">
        <v>46322</v>
      </c>
      <c r="D439" s="9" t="s">
        <v>9</v>
      </c>
      <c r="E439" s="11" t="str">
        <f ca="1">IF(tb_investimentos[[#This Row],[TIPO MOVIMENTAÇÃO]]="Aporte",_xlfn.XLOOKUP(tb_investimentos[[#This Row],[DESCRIÇÃO]],'INFO AÇÕES'!E:E,'INFO AÇÕES'!I:I),"BRL")</f>
        <v>BRL</v>
      </c>
      <c r="F439" s="73" t="s">
        <v>5</v>
      </c>
      <c r="G439" s="11">
        <v>5</v>
      </c>
      <c r="H439" s="12">
        <v>8.2899999999999991</v>
      </c>
      <c r="I439" s="13" t="s">
        <v>58</v>
      </c>
      <c r="J439" s="51">
        <f t="shared" ref="J439:J443" si="17">H439*G439</f>
        <v>41.449999999999996</v>
      </c>
      <c r="K439" s="11" t="s">
        <v>6</v>
      </c>
      <c r="L439">
        <f>MONTH(tb_investimentos[[#This Row],[DATA]])</f>
        <v>10</v>
      </c>
      <c r="M439">
        <f>YEAR(tb_investimentos[[#This Row],[DATA]])</f>
        <v>2026</v>
      </c>
      <c r="N439">
        <f>DAY(tb_investimentos[[#This Row],[DATA]])</f>
        <v>27</v>
      </c>
      <c r="O439">
        <f t="shared" si="16"/>
        <v>8.472999999999999</v>
      </c>
      <c r="P439">
        <f>tb_investimentos[[#This Row],[PREÇO MÉDIO PONDERADO]]*tb_investimentos[[#This Row],[QUANTIDADE]]</f>
        <v>42.364999999999995</v>
      </c>
      <c r="Q439" s="58">
        <f ca="1">IFERROR(_xlfn.XLOOKUP(tb_investimentos[[#This Row],[DESCRIÇÃO]],tb_acoes[Símbolo do ticker],tb_acoes[Preço]),"")</f>
        <v>8.35</v>
      </c>
      <c r="R439" s="58">
        <f ca="1">IFERROR(tb_investimentos[[#This Row],[QUANTIDADE]]*tb_investimentos[[#This Row],[PREÇO MERCADO]],"")</f>
        <v>41.75</v>
      </c>
      <c r="S439" s="58">
        <f ca="1">IFERROR(tb_investimentos[[#This Row],[VALOR TOTAL MERCADO]]-tb_investimentos[[#This Row],[VALOR TOTAL PONDERADO]],"")</f>
        <v>-0.61499999999999488</v>
      </c>
      <c r="T439" s="99">
        <f ca="1">IFERROR(_xlfn.XLOOKUP(tb_investimentos[[#This Row],[DESCRIÇÃO]],'INFO AÇÕES'!E:E,'INFO AÇÕES'!H:H),"")</f>
        <v>-4.4622000000000002E-2</v>
      </c>
      <c r="U439" s="59">
        <f ca="1">IFERROR((tb_investimentos[[#This Row],[VALOR TOTAL MERCADO]]-tb_investimentos[[#This Row],[VALOR TOTAL PONDERADO]])/tb_investimentos[[#This Row],[VALOR TOTAL PONDERADO]],"")</f>
        <v>-1.4516700106219638E-2</v>
      </c>
    </row>
    <row r="440" spans="2:21" hidden="1" x14ac:dyDescent="0.2">
      <c r="B440" s="13" t="s">
        <v>39</v>
      </c>
      <c r="C440" s="10">
        <v>46322</v>
      </c>
      <c r="D440" s="9" t="s">
        <v>7</v>
      </c>
      <c r="E440" s="11" t="str">
        <f ca="1">IF(tb_investimentos[[#This Row],[TIPO MOVIMENTAÇÃO]]="Aporte",_xlfn.XLOOKUP(tb_investimentos[[#This Row],[DESCRIÇÃO]],'INFO AÇÕES'!E:E,'INFO AÇÕES'!I:I),"BRL")</f>
        <v>BRL</v>
      </c>
      <c r="F440" s="73" t="s">
        <v>5</v>
      </c>
      <c r="G440" s="11">
        <v>3</v>
      </c>
      <c r="H440" s="12">
        <v>9.0299999999999994</v>
      </c>
      <c r="I440" s="13" t="s">
        <v>58</v>
      </c>
      <c r="J440" s="51">
        <f t="shared" si="17"/>
        <v>27.089999999999996</v>
      </c>
      <c r="K440" s="11" t="s">
        <v>6</v>
      </c>
      <c r="L440">
        <f>MONTH(tb_investimentos[[#This Row],[DATA]])</f>
        <v>10</v>
      </c>
      <c r="M440">
        <f>YEAR(tb_investimentos[[#This Row],[DATA]])</f>
        <v>2026</v>
      </c>
      <c r="N440">
        <f>DAY(tb_investimentos[[#This Row],[DATA]])</f>
        <v>27</v>
      </c>
      <c r="O440">
        <f t="shared" si="16"/>
        <v>9.1778571428571443</v>
      </c>
      <c r="P440">
        <f>tb_investimentos[[#This Row],[PREÇO MÉDIO PONDERADO]]*tb_investimentos[[#This Row],[QUANTIDADE]]</f>
        <v>27.533571428571435</v>
      </c>
      <c r="Q440" s="58">
        <f ca="1">IFERROR(_xlfn.XLOOKUP(tb_investimentos[[#This Row],[DESCRIÇÃO]],tb_acoes[Símbolo do ticker],tb_acoes[Preço]),"")</f>
        <v>9.02</v>
      </c>
      <c r="R440" s="58">
        <f ca="1">IFERROR(tb_investimentos[[#This Row],[QUANTIDADE]]*tb_investimentos[[#This Row],[PREÇO MERCADO]],"")</f>
        <v>27.06</v>
      </c>
      <c r="S440" s="58">
        <f ca="1">IFERROR(tb_investimentos[[#This Row],[VALOR TOTAL MERCADO]]-tb_investimentos[[#This Row],[VALOR TOTAL PONDERADO]],"")</f>
        <v>-0.47357142857143586</v>
      </c>
      <c r="T440" s="99">
        <f ca="1">IFERROR(_xlfn.XLOOKUP(tb_investimentos[[#This Row],[DESCRIÇÃO]],'INFO AÇÕES'!E:E,'INFO AÇÕES'!H:H),"")</f>
        <v>-9.8790000000000006E-3</v>
      </c>
      <c r="U440" s="59">
        <f ca="1">IFERROR((tb_investimentos[[#This Row],[VALOR TOTAL MERCADO]]-tb_investimentos[[#This Row],[VALOR TOTAL PONDERADO]])/tb_investimentos[[#This Row],[VALOR TOTAL PONDERADO]],"")</f>
        <v>-1.719978208420915E-2</v>
      </c>
    </row>
    <row r="441" spans="2:21" hidden="1" x14ac:dyDescent="0.2">
      <c r="B441" s="13" t="s">
        <v>39</v>
      </c>
      <c r="C441" s="10">
        <v>46322</v>
      </c>
      <c r="D441" s="9" t="s">
        <v>8</v>
      </c>
      <c r="E441" s="11" t="str">
        <f ca="1">IF(tb_investimentos[[#This Row],[TIPO MOVIMENTAÇÃO]]="Aporte",_xlfn.XLOOKUP(tb_investimentos[[#This Row],[DESCRIÇÃO]],'INFO AÇÕES'!E:E,'INFO AÇÕES'!I:I),"BRL")</f>
        <v>BRL</v>
      </c>
      <c r="F441" s="73" t="s">
        <v>5</v>
      </c>
      <c r="G441" s="11">
        <v>1</v>
      </c>
      <c r="H441" s="12">
        <v>8.91</v>
      </c>
      <c r="I441" s="13" t="s">
        <v>58</v>
      </c>
      <c r="J441" s="51">
        <f t="shared" si="17"/>
        <v>8.91</v>
      </c>
      <c r="K441" s="11" t="s">
        <v>6</v>
      </c>
      <c r="L441">
        <f>MONTH(tb_investimentos[[#This Row],[DATA]])</f>
        <v>10</v>
      </c>
      <c r="M441">
        <f>YEAR(tb_investimentos[[#This Row],[DATA]])</f>
        <v>2026</v>
      </c>
      <c r="N441">
        <f>DAY(tb_investimentos[[#This Row],[DATA]])</f>
        <v>27</v>
      </c>
      <c r="O441">
        <f t="shared" si="16"/>
        <v>8.98</v>
      </c>
      <c r="P441">
        <f>tb_investimentos[[#This Row],[PREÇO MÉDIO PONDERADO]]*tb_investimentos[[#This Row],[QUANTIDADE]]</f>
        <v>8.98</v>
      </c>
      <c r="Q441" s="58">
        <f ca="1">IFERROR(_xlfn.XLOOKUP(tb_investimentos[[#This Row],[DESCRIÇÃO]],tb_acoes[Símbolo do ticker],tb_acoes[Preço]),"")</f>
        <v>8.85</v>
      </c>
      <c r="R441" s="58">
        <f ca="1">IFERROR(tb_investimentos[[#This Row],[QUANTIDADE]]*tb_investimentos[[#This Row],[PREÇO MERCADO]],"")</f>
        <v>8.85</v>
      </c>
      <c r="S441" s="58">
        <f ca="1">IFERROR(tb_investimentos[[#This Row],[VALOR TOTAL MERCADO]]-tb_investimentos[[#This Row],[VALOR TOTAL PONDERADO]],"")</f>
        <v>-0.13000000000000078</v>
      </c>
      <c r="T441" s="99">
        <f ca="1">IFERROR(_xlfn.XLOOKUP(tb_investimentos[[#This Row],[DESCRIÇÃO]],'INFO AÇÕES'!E:E,'INFO AÇÕES'!H:H),"")</f>
        <v>-1.4477E-2</v>
      </c>
      <c r="U441" s="59">
        <f ca="1">IFERROR((tb_investimentos[[#This Row],[VALOR TOTAL MERCADO]]-tb_investimentos[[#This Row],[VALOR TOTAL PONDERADO]])/tb_investimentos[[#This Row],[VALOR TOTAL PONDERADO]],"")</f>
        <v>-1.4476614699331935E-2</v>
      </c>
    </row>
    <row r="442" spans="2:21" hidden="1" x14ac:dyDescent="0.2">
      <c r="B442" s="13" t="s">
        <v>39</v>
      </c>
      <c r="C442" s="10">
        <v>46322</v>
      </c>
      <c r="D442" s="9" t="s">
        <v>24</v>
      </c>
      <c r="E442" s="11" t="str">
        <f ca="1">IF(tb_investimentos[[#This Row],[TIPO MOVIMENTAÇÃO]]="Aporte",_xlfn.XLOOKUP(tb_investimentos[[#This Row],[DESCRIÇÃO]],'INFO AÇÕES'!E:E,'INFO AÇÕES'!I:I),"BRL")</f>
        <v>BRL</v>
      </c>
      <c r="F442" s="73" t="s">
        <v>10</v>
      </c>
      <c r="G442" s="11">
        <v>4</v>
      </c>
      <c r="H442" s="12">
        <v>6.75</v>
      </c>
      <c r="I442" s="13" t="s">
        <v>58</v>
      </c>
      <c r="J442" s="51">
        <f t="shared" si="17"/>
        <v>27</v>
      </c>
      <c r="K442" s="11" t="s">
        <v>6</v>
      </c>
      <c r="L442">
        <f>MONTH(tb_investimentos[[#This Row],[DATA]])</f>
        <v>10</v>
      </c>
      <c r="M442">
        <f>YEAR(tb_investimentos[[#This Row],[DATA]])</f>
        <v>2026</v>
      </c>
      <c r="N442">
        <f>DAY(tb_investimentos[[#This Row],[DATA]])</f>
        <v>27</v>
      </c>
      <c r="O442">
        <f t="shared" si="16"/>
        <v>7.2909999999999995</v>
      </c>
      <c r="P442">
        <f>tb_investimentos[[#This Row],[PREÇO MÉDIO PONDERADO]]*tb_investimentos[[#This Row],[QUANTIDADE]]</f>
        <v>29.163999999999998</v>
      </c>
      <c r="Q442" s="58">
        <f ca="1">IFERROR(_xlfn.XLOOKUP(tb_investimentos[[#This Row],[DESCRIÇÃO]],tb_acoes[Símbolo do ticker],tb_acoes[Preço]),"")</f>
        <v>6.86</v>
      </c>
      <c r="R442" s="58">
        <f ca="1">IFERROR(tb_investimentos[[#This Row],[QUANTIDADE]]*tb_investimentos[[#This Row],[PREÇO MERCADO]],"")</f>
        <v>27.44</v>
      </c>
      <c r="S442" s="58">
        <f ca="1">IFERROR(tb_investimentos[[#This Row],[VALOR TOTAL MERCADO]]-tb_investimentos[[#This Row],[VALOR TOTAL PONDERADO]],"")</f>
        <v>-1.7239999999999966</v>
      </c>
      <c r="T442" s="99">
        <f ca="1">IFERROR(_xlfn.XLOOKUP(tb_investimentos[[#This Row],[DESCRIÇÃO]],'INFO AÇÕES'!E:E,'INFO AÇÕES'!H:H),"")</f>
        <v>8.8240000000000002E-3</v>
      </c>
      <c r="U442" s="59">
        <f ca="1">IFERROR((tb_investimentos[[#This Row],[VALOR TOTAL MERCADO]]-tb_investimentos[[#This Row],[VALOR TOTAL PONDERADO]])/tb_investimentos[[#This Row],[VALOR TOTAL PONDERADO]],"")</f>
        <v>-5.9113976134960798E-2</v>
      </c>
    </row>
    <row r="443" spans="2:21" hidden="1" x14ac:dyDescent="0.2">
      <c r="B443" s="13" t="s">
        <v>39</v>
      </c>
      <c r="C443" s="10">
        <v>46322</v>
      </c>
      <c r="D443" s="9" t="s">
        <v>11</v>
      </c>
      <c r="E443" s="11" t="str">
        <f ca="1">IF(tb_investimentos[[#This Row],[TIPO MOVIMENTAÇÃO]]="Aporte",_xlfn.XLOOKUP(tb_investimentos[[#This Row],[DESCRIÇÃO]],'INFO AÇÕES'!E:E,'INFO AÇÕES'!I:I),"BRL")</f>
        <v>BRL</v>
      </c>
      <c r="F443" s="73" t="s">
        <v>10</v>
      </c>
      <c r="G443" s="11">
        <v>1</v>
      </c>
      <c r="H443" s="12">
        <v>17.77</v>
      </c>
      <c r="I443" s="13" t="s">
        <v>58</v>
      </c>
      <c r="J443" s="51">
        <f t="shared" si="17"/>
        <v>17.77</v>
      </c>
      <c r="K443" s="11" t="s">
        <v>6</v>
      </c>
      <c r="L443">
        <f>MONTH(tb_investimentos[[#This Row],[DATA]])</f>
        <v>10</v>
      </c>
      <c r="M443">
        <f>YEAR(tb_investimentos[[#This Row],[DATA]])</f>
        <v>2026</v>
      </c>
      <c r="N443">
        <f>DAY(tb_investimentos[[#This Row],[DATA]])</f>
        <v>27</v>
      </c>
      <c r="O443">
        <f t="shared" si="16"/>
        <v>19.0425</v>
      </c>
      <c r="P443">
        <f>tb_investimentos[[#This Row],[PREÇO MÉDIO PONDERADO]]*tb_investimentos[[#This Row],[QUANTIDADE]]</f>
        <v>19.0425</v>
      </c>
      <c r="Q443" s="58">
        <f ca="1">IFERROR(_xlfn.XLOOKUP(tb_investimentos[[#This Row],[DESCRIÇÃO]],tb_acoes[Símbolo do ticker],tb_acoes[Preço]),"")</f>
        <v>17.809999999999999</v>
      </c>
      <c r="R443" s="58">
        <f ca="1">IFERROR(tb_investimentos[[#This Row],[QUANTIDADE]]*tb_investimentos[[#This Row],[PREÇO MERCADO]],"")</f>
        <v>17.809999999999999</v>
      </c>
      <c r="S443" s="58">
        <f ca="1">IFERROR(tb_investimentos[[#This Row],[VALOR TOTAL MERCADO]]-tb_investimentos[[#This Row],[VALOR TOTAL PONDERADO]],"")</f>
        <v>-1.2325000000000017</v>
      </c>
      <c r="T443" s="99">
        <f ca="1">IFERROR(_xlfn.XLOOKUP(tb_investimentos[[#This Row],[DESCRIÇÃO]],'INFO AÇÕES'!E:E,'INFO AÇÕES'!H:H),"")</f>
        <v>1.9462E-2</v>
      </c>
      <c r="U443" s="59">
        <f ca="1">IFERROR((tb_investimentos[[#This Row],[VALOR TOTAL MERCADO]]-tb_investimentos[[#This Row],[VALOR TOTAL PONDERADO]])/tb_investimentos[[#This Row],[VALOR TOTAL PONDERADO]],"")</f>
        <v>-6.4723644479453946E-2</v>
      </c>
    </row>
  </sheetData>
  <conditionalFormatting sqref="S5:U443">
    <cfRule type="cellIs" dxfId="37" priority="12" operator="greaterThan">
      <formula>0</formula>
    </cfRule>
    <cfRule type="cellIs" dxfId="36" priority="15" operator="lessThan">
      <formula>0</formula>
    </cfRule>
  </conditionalFormatting>
  <conditionalFormatting sqref="S3:U3">
    <cfRule type="cellIs" dxfId="35" priority="10" operator="lessThan">
      <formula>0</formula>
    </cfRule>
    <cfRule type="cellIs" dxfId="34" priority="11" operator="greaterThan">
      <formula>0</formula>
    </cfRule>
  </conditionalFormatting>
  <conditionalFormatting sqref="B5:U1048576">
    <cfRule type="expression" dxfId="33" priority="9">
      <formula>$K5="SIM"</formula>
    </cfRule>
  </conditionalFormatting>
  <conditionalFormatting sqref="L268:N270 Q268:V270">
    <cfRule type="expression" dxfId="32" priority="19">
      <formula>$L268="SIM"</formula>
    </cfRule>
  </conditionalFormatting>
  <conditionalFormatting sqref="B250:K250">
    <cfRule type="expression" dxfId="31" priority="7">
      <formula>$K250="SIM"</formula>
    </cfRule>
  </conditionalFormatting>
  <conditionalFormatting sqref="B251:K251">
    <cfRule type="expression" dxfId="30" priority="6">
      <formula>$K251="SIM"</formula>
    </cfRule>
  </conditionalFormatting>
  <conditionalFormatting sqref="B252:K252">
    <cfRule type="expression" dxfId="29" priority="5">
      <formula>$K252="SIM"</formula>
    </cfRule>
  </conditionalFormatting>
  <conditionalFormatting sqref="S275:U275">
    <cfRule type="cellIs" dxfId="28" priority="3" operator="greaterThan">
      <formula>0</formula>
    </cfRule>
    <cfRule type="cellIs" dxfId="27" priority="4" operator="lessThan">
      <formula>0</formula>
    </cfRule>
  </conditionalFormatting>
  <conditionalFormatting sqref="S386:U386">
    <cfRule type="cellIs" dxfId="26" priority="1" operator="greaterThan">
      <formula>0</formula>
    </cfRule>
    <cfRule type="cellIs" dxfId="25" priority="2" operator="lessThan">
      <formula>0</formula>
    </cfRule>
  </conditionalFormatting>
  <dataValidations disablePrompts="1" count="2">
    <dataValidation type="list" allowBlank="1" sqref="K5:K443" xr:uid="{05BA5603-3537-4445-8E29-4D81870BF2B6}">
      <formula1>"SIM,NÃO"</formula1>
    </dataValidation>
    <dataValidation type="custom" allowBlank="1" showDropDown="1" sqref="C5:C443" xr:uid="{2297AF0C-4F7B-45B6-BECF-E61E8F1FAE4E}">
      <formula1>OR(NOT(ISERROR(DATEVALUE(C5))), AND(ISNUMBER(C5), LEFT(CELL("format", C5))="D"))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9A928-2A6B-434F-8F52-B622E873C6CB}">
  <dimension ref="A1:Q186"/>
  <sheetViews>
    <sheetView showGridLines="0" zoomScaleNormal="100" workbookViewId="0">
      <selection activeCell="H27" sqref="H27"/>
    </sheetView>
  </sheetViews>
  <sheetFormatPr defaultRowHeight="15" x14ac:dyDescent="0.2"/>
  <cols>
    <col min="1" max="1" width="3.42578125" style="40" customWidth="1"/>
    <col min="2" max="2" width="10.140625" style="40" customWidth="1"/>
    <col min="3" max="3" width="9.42578125" style="40" customWidth="1"/>
    <col min="4" max="4" width="5.85546875" style="40" customWidth="1"/>
    <col min="5" max="5" width="8.7109375" style="40" customWidth="1"/>
    <col min="6" max="6" width="9.140625" style="36" customWidth="1"/>
    <col min="7" max="8" width="18.28515625" style="35" customWidth="1"/>
    <col min="9" max="9" width="20.42578125" style="35" customWidth="1"/>
    <col min="10" max="12" width="18.28515625" style="35" customWidth="1"/>
    <col min="13" max="14" width="19.28515625" style="35" customWidth="1"/>
    <col min="15" max="15" width="19.85546875" style="38" customWidth="1"/>
    <col min="16" max="16" width="17.85546875" style="38" hidden="1" customWidth="1"/>
    <col min="17" max="17" width="9.28515625" style="38" hidden="1" customWidth="1"/>
    <col min="18" max="16384" width="9.140625" style="33"/>
  </cols>
  <sheetData>
    <row r="1" spans="1:17" ht="14.25" x14ac:dyDescent="0.2">
      <c r="A1" s="31"/>
      <c r="B1" s="31"/>
      <c r="C1" s="31"/>
      <c r="D1" s="31"/>
      <c r="E1" s="31"/>
      <c r="F1" s="32"/>
      <c r="G1" s="33"/>
      <c r="H1" s="33"/>
      <c r="I1" s="110"/>
      <c r="J1" s="110"/>
      <c r="K1" s="34"/>
      <c r="L1" s="34"/>
      <c r="M1" s="110"/>
      <c r="N1" s="110"/>
      <c r="O1" s="33"/>
      <c r="P1" s="33"/>
      <c r="Q1" s="33"/>
    </row>
    <row r="2" spans="1:17" s="38" customFormat="1" x14ac:dyDescent="0.2">
      <c r="A2" s="35"/>
      <c r="B2" s="35"/>
      <c r="C2" s="35"/>
      <c r="D2" s="35"/>
      <c r="E2" s="35"/>
      <c r="F2" s="36"/>
      <c r="G2" s="35"/>
      <c r="H2" s="35"/>
      <c r="I2" s="35"/>
      <c r="J2" s="35"/>
      <c r="K2" s="35"/>
      <c r="L2" s="35"/>
      <c r="M2" s="37" t="s">
        <v>40</v>
      </c>
      <c r="N2" s="37" t="s">
        <v>50</v>
      </c>
      <c r="O2" s="37" t="s">
        <v>49</v>
      </c>
    </row>
    <row r="3" spans="1:17" x14ac:dyDescent="0.2">
      <c r="A3" s="31"/>
      <c r="B3" s="31"/>
      <c r="C3" s="31"/>
      <c r="D3" s="31"/>
      <c r="E3" s="31"/>
      <c r="F3" s="39"/>
      <c r="G3" s="40"/>
      <c r="L3" s="41" t="s">
        <v>41</v>
      </c>
      <c r="M3" s="42">
        <v>7.0000000000000001E-3</v>
      </c>
      <c r="N3" s="42" t="e">
        <f ca="1">AVERAGE(O9:O186)</f>
        <v>#DIV/0!</v>
      </c>
      <c r="O3" s="42" t="e">
        <f ca="1">N3-M3</f>
        <v>#DIV/0!</v>
      </c>
      <c r="Q3" s="33"/>
    </row>
    <row r="4" spans="1:17" x14ac:dyDescent="0.2">
      <c r="A4" s="31"/>
      <c r="B4" s="31"/>
      <c r="C4" s="31"/>
      <c r="D4" s="31"/>
      <c r="E4" s="31"/>
      <c r="F4" s="39"/>
      <c r="G4" s="40"/>
      <c r="L4" s="41" t="s">
        <v>55</v>
      </c>
      <c r="M4" s="20">
        <f ca="1">SUMIFS($K$9:$K$186,$P$9:$P$186,"OK")</f>
        <v>0</v>
      </c>
      <c r="N4" s="20">
        <f ca="1">SUM(L9:L186)</f>
        <v>0</v>
      </c>
      <c r="O4" s="20">
        <f ca="1">N4-M4</f>
        <v>0</v>
      </c>
      <c r="Q4" s="33"/>
    </row>
    <row r="5" spans="1:17" x14ac:dyDescent="0.2">
      <c r="A5" s="31"/>
      <c r="B5" s="31"/>
      <c r="C5" s="31"/>
      <c r="D5" s="31"/>
      <c r="E5" s="31"/>
      <c r="F5" s="32"/>
      <c r="G5" s="33"/>
      <c r="L5" s="41" t="s">
        <v>56</v>
      </c>
      <c r="M5" s="20" t="e">
        <f ca="1">SUMIFS($G$9:$G$186,$P$9:$P$186,"OK")</f>
        <v>#REF!</v>
      </c>
      <c r="N5" s="20">
        <f ca="1">SUM(H9:H186)</f>
        <v>799.80000000000018</v>
      </c>
      <c r="O5" s="20" t="e">
        <f ca="1">N5-M5</f>
        <v>#REF!</v>
      </c>
      <c r="Q5" s="33"/>
    </row>
    <row r="6" spans="1:17" x14ac:dyDescent="0.2">
      <c r="A6" s="31"/>
      <c r="B6" s="31"/>
      <c r="C6" s="31"/>
      <c r="D6" s="31"/>
      <c r="E6" s="31"/>
      <c r="F6" s="32"/>
      <c r="G6" s="33"/>
      <c r="L6" s="41" t="s">
        <v>57</v>
      </c>
      <c r="M6" s="20"/>
      <c r="N6" s="20" t="e">
        <f>#REF!</f>
        <v>#REF!</v>
      </c>
      <c r="O6" s="20" t="e">
        <f ca="1">N6-N5</f>
        <v>#REF!</v>
      </c>
      <c r="Q6" s="33"/>
    </row>
    <row r="7" spans="1:17" ht="14.25" x14ac:dyDescent="0.2">
      <c r="A7" s="31"/>
      <c r="B7" s="31"/>
      <c r="C7" s="31"/>
      <c r="D7" s="31"/>
      <c r="E7" s="31"/>
      <c r="F7" s="43"/>
      <c r="G7" s="31"/>
      <c r="H7" s="31"/>
      <c r="I7" s="34"/>
      <c r="J7" s="34"/>
      <c r="K7" s="34"/>
      <c r="L7" s="44"/>
      <c r="M7" s="31"/>
      <c r="N7" s="31"/>
      <c r="O7" s="33"/>
      <c r="P7" s="33"/>
      <c r="Q7" s="33"/>
    </row>
    <row r="8" spans="1:17" ht="47.25" customHeight="1" x14ac:dyDescent="0.2">
      <c r="A8" s="45"/>
      <c r="B8" s="45"/>
      <c r="C8" s="45"/>
      <c r="D8" s="45" t="s">
        <v>0</v>
      </c>
      <c r="E8" s="45" t="s">
        <v>2</v>
      </c>
      <c r="F8" s="21" t="s">
        <v>42</v>
      </c>
      <c r="G8" s="22" t="s">
        <v>45</v>
      </c>
      <c r="H8" s="22" t="s">
        <v>46</v>
      </c>
      <c r="I8" s="22" t="s">
        <v>43</v>
      </c>
      <c r="J8" s="22" t="s">
        <v>44</v>
      </c>
      <c r="K8" s="22" t="s">
        <v>52</v>
      </c>
      <c r="L8" s="22" t="s">
        <v>53</v>
      </c>
      <c r="M8" s="22" t="s">
        <v>47</v>
      </c>
      <c r="N8" s="22" t="s">
        <v>48</v>
      </c>
      <c r="O8" s="22" t="s">
        <v>54</v>
      </c>
      <c r="P8" s="23" t="s">
        <v>51</v>
      </c>
      <c r="Q8" s="33"/>
    </row>
    <row r="9" spans="1:17" s="49" customFormat="1" ht="20.25" customHeight="1" x14ac:dyDescent="0.2">
      <c r="A9" s="46"/>
      <c r="B9" s="47">
        <f ca="1">DATE(E9,D9,DAY(TODAY()))</f>
        <v>46322</v>
      </c>
      <c r="C9" s="47">
        <f ca="1">TODAY()</f>
        <v>46322</v>
      </c>
      <c r="D9" s="48">
        <f t="shared" ref="D9:D40" si="0">MONTH(F9)</f>
        <v>10</v>
      </c>
      <c r="E9" s="48">
        <f t="shared" ref="E9:E72" si="1">YEAR(F9)</f>
        <v>2026</v>
      </c>
      <c r="F9" s="24">
        <v>46296</v>
      </c>
      <c r="G9" s="25" t="e">
        <f>SUMIFS(#REF!,#REF!,D9,#REF!,E9,#REF!,"SIM")-SUMIFS(#REF!,#REF!,D9,#REF!,E9,#REF!,"SIM",#REF!,"EXTERIOR")</f>
        <v>#REF!</v>
      </c>
      <c r="H9" s="25">
        <f>IF(SUMIFS(tb_investimentos[VALOR 
TOTAL],tb_investimentos[Ano],E9,tb_investimentos[Mês],D9,tb_investimentos[FEITO?],"SIM",tb_investimentos[TIPO MOVIMENTAÇÃO],"Aporte")=0,"",SUMIFS(tb_investimentos[VALOR 
TOTAL],tb_investimentos[Ano],E9,tb_investimentos[Mês],D9,tb_investimentos[FEITO?],"SIM",tb_investimentos[TIPO MOVIMENTAÇÃO],"Aporte"))</f>
        <v>799.80000000000018</v>
      </c>
      <c r="I9" s="25" t="e">
        <f>G9</f>
        <v>#REF!</v>
      </c>
      <c r="J9" s="25">
        <f>H9</f>
        <v>799.80000000000018</v>
      </c>
      <c r="K9" s="25"/>
      <c r="L9" s="25"/>
      <c r="M9" s="25"/>
      <c r="N9" s="25"/>
      <c r="O9" s="25"/>
      <c r="P9" s="26" t="str">
        <f ca="1">IF(B9&gt;C9,"","OK")</f>
        <v>OK</v>
      </c>
      <c r="Q9" s="49" t="str">
        <f ca="1">P9</f>
        <v>OK</v>
      </c>
    </row>
    <row r="10" spans="1:17" s="49" customFormat="1" ht="20.25" customHeight="1" x14ac:dyDescent="0.2">
      <c r="A10" s="46"/>
      <c r="B10" s="47">
        <f t="shared" ref="B10:B25" ca="1" si="2">DATE(E10,D10,DAY(TODAY()))</f>
        <v>46353</v>
      </c>
      <c r="C10" s="47">
        <f t="shared" ref="C10:C73" ca="1" si="3">TODAY()</f>
        <v>46322</v>
      </c>
      <c r="D10" s="48">
        <f t="shared" si="0"/>
        <v>11</v>
      </c>
      <c r="E10" s="48">
        <f t="shared" si="1"/>
        <v>2026</v>
      </c>
      <c r="F10" s="24">
        <v>46327</v>
      </c>
      <c r="G10" s="25" t="e">
        <f>SUMIFS(#REF!,#REF!,D10,#REF!,E10,#REF!,"SIM")-SUMIFS(#REF!,#REF!,D10,#REF!,E10,#REF!,"SIM",#REF!,"EXTERIOR")</f>
        <v>#REF!</v>
      </c>
      <c r="H10" s="25" t="str">
        <f>IF(SUMIFS(tb_investimentos[VALOR 
TOTAL],tb_investimentos[Ano],E10,tb_investimentos[Mês],D10,tb_investimentos[FEITO?],"SIM",tb_investimentos[TIPO MOVIMENTAÇÃO],"Aporte")=0,"",SUMIFS(tb_investimentos[VALOR 
TOTAL],tb_investimentos[Ano],E10,tb_investimentos[Mês],D10,tb_investimentos[FEITO?],"SIM",tb_investimentos[TIPO MOVIMENTAÇÃO],"Aporte"))</f>
        <v/>
      </c>
      <c r="I10" s="25" t="e">
        <f t="shared" ref="I10:I41" si="4">G10+I9</f>
        <v>#REF!</v>
      </c>
      <c r="J10" s="25" t="str">
        <f ca="1">IF(B10&gt;C10,"",IF(B10&gt;C10,0,SUMIFS(#REF!,#REF!,"&lt;"&amp;DATE(E11,D11,1),#REF!,"sim",#REF!,"&lt;&gt;"&amp;"EXTERIOR")))</f>
        <v/>
      </c>
      <c r="K10" s="25">
        <f>J9*$M$3</f>
        <v>5.5986000000000011</v>
      </c>
      <c r="L10" s="25" t="str">
        <f ca="1">IF(B10&gt;C10,"",SUMIFS(#REF!,#REF!,D10,#REF!,E10,#REF!,"INVESTIMENTO",#REF!,"SIM"))</f>
        <v/>
      </c>
      <c r="M10" s="25">
        <f>K10+M9</f>
        <v>5.5986000000000011</v>
      </c>
      <c r="N10" s="25" t="str">
        <f ca="1">IFERROR(IF(L10=0,0,L10+N9),"")</f>
        <v/>
      </c>
      <c r="O10" s="27" t="str">
        <f ca="1">IFERROR(IF(L10=0,"",L10/J9),"")</f>
        <v/>
      </c>
      <c r="P10" s="26" t="str">
        <f t="shared" ref="P10:P73" ca="1" si="5">IF(B10&gt;C10,"","OK")</f>
        <v/>
      </c>
    </row>
    <row r="11" spans="1:17" s="49" customFormat="1" ht="20.25" customHeight="1" x14ac:dyDescent="0.2">
      <c r="A11" s="46"/>
      <c r="B11" s="47">
        <f t="shared" ca="1" si="2"/>
        <v>46383</v>
      </c>
      <c r="C11" s="47">
        <f t="shared" ca="1" si="3"/>
        <v>46322</v>
      </c>
      <c r="D11" s="48">
        <f t="shared" si="0"/>
        <v>12</v>
      </c>
      <c r="E11" s="48">
        <f t="shared" si="1"/>
        <v>2026</v>
      </c>
      <c r="F11" s="24">
        <v>46357</v>
      </c>
      <c r="G11" s="25" t="e">
        <f>SUMIFS(#REF!,#REF!,D11,#REF!,E11,#REF!,"SIM")-SUMIFS(#REF!,#REF!,D11,#REF!,E11,#REF!,"SIM",#REF!,"EXTERIOR")</f>
        <v>#REF!</v>
      </c>
      <c r="H11" s="25" t="str">
        <f>IF(SUMIFS(tb_investimentos[VALOR 
TOTAL],tb_investimentos[Ano],E11,tb_investimentos[Mês],D11,tb_investimentos[FEITO?],"SIM",tb_investimentos[TIPO MOVIMENTAÇÃO],"Aporte")=0,"",SUMIFS(tb_investimentos[VALOR 
TOTAL],tb_investimentos[Ano],E11,tb_investimentos[Mês],D11,tb_investimentos[FEITO?],"SIM",tb_investimentos[TIPO MOVIMENTAÇÃO],"Aporte"))</f>
        <v/>
      </c>
      <c r="I11" s="25" t="e">
        <f t="shared" si="4"/>
        <v>#REF!</v>
      </c>
      <c r="J11" s="25" t="str">
        <f ca="1">IF(B11&gt;C11,"",IF(B11&gt;C11,0,SUMIFS(#REF!,#REF!,"&lt;"&amp;DATE(E12,D12,1),#REF!,"sim",#REF!,"&lt;&gt;"&amp;"EXTERIOR")))</f>
        <v/>
      </c>
      <c r="K11" s="25" t="e">
        <f ca="1">J10*$M$3</f>
        <v>#VALUE!</v>
      </c>
      <c r="L11" s="25" t="str">
        <f ca="1">IF(B11&gt;C11,"",SUMIFS(#REF!,#REF!,D11,#REF!,E11,#REF!,"INVESTIMENTO",#REF!,"SIM"))</f>
        <v/>
      </c>
      <c r="M11" s="25" t="e">
        <f t="shared" ref="M11:M74" ca="1" si="6">K11+M10</f>
        <v>#VALUE!</v>
      </c>
      <c r="N11" s="25" t="str">
        <f t="shared" ref="N11:N74" ca="1" si="7">IFERROR(IF(L11=0,0,L11+N10),"")</f>
        <v/>
      </c>
      <c r="O11" s="27" t="str">
        <f t="shared" ref="O11:O74" ca="1" si="8">IFERROR(IF(L11=0,"",L11/J10),"")</f>
        <v/>
      </c>
      <c r="P11" s="26" t="str">
        <f t="shared" ca="1" si="5"/>
        <v/>
      </c>
    </row>
    <row r="12" spans="1:17" s="49" customFormat="1" ht="20.25" customHeight="1" x14ac:dyDescent="0.2">
      <c r="A12" s="48"/>
      <c r="B12" s="47">
        <f t="shared" ca="1" si="2"/>
        <v>46414</v>
      </c>
      <c r="C12" s="47">
        <f t="shared" ca="1" si="3"/>
        <v>46322</v>
      </c>
      <c r="D12" s="48">
        <f t="shared" si="0"/>
        <v>1</v>
      </c>
      <c r="E12" s="48">
        <f t="shared" si="1"/>
        <v>2027</v>
      </c>
      <c r="F12" s="24">
        <v>46388</v>
      </c>
      <c r="G12" s="25" t="e">
        <f>SUMIFS(#REF!,#REF!,D12,#REF!,E12,#REF!,"SIM")-SUMIFS(#REF!,#REF!,D12,#REF!,E12,#REF!,"SIM",#REF!,"EXTERIOR")</f>
        <v>#REF!</v>
      </c>
      <c r="H12" s="25" t="str">
        <f>IF(SUMIFS(tb_investimentos[VALOR 
TOTAL],tb_investimentos[Ano],E12,tb_investimentos[Mês],D12,tb_investimentos[FEITO?],"SIM",tb_investimentos[TIPO MOVIMENTAÇÃO],"Aporte")=0,"",SUMIFS(tb_investimentos[VALOR 
TOTAL],tb_investimentos[Ano],E12,tb_investimentos[Mês],D12,tb_investimentos[FEITO?],"SIM",tb_investimentos[TIPO MOVIMENTAÇÃO],"Aporte"))</f>
        <v/>
      </c>
      <c r="I12" s="25" t="e">
        <f t="shared" si="4"/>
        <v>#REF!</v>
      </c>
      <c r="J12" s="25" t="str">
        <f ca="1">IF(B12&gt;C12,"",IF(B12&gt;C12,0,SUMIFS(#REF!,#REF!,"&lt;"&amp;DATE(E13,D13,1),#REF!,"sim",#REF!,"&lt;&gt;"&amp;"EXTERIOR")))</f>
        <v/>
      </c>
      <c r="K12" s="25" t="e">
        <f ca="1">J11*$M$3</f>
        <v>#VALUE!</v>
      </c>
      <c r="L12" s="25" t="str">
        <f ca="1">IF(B12&gt;C12,"",SUMIFS(#REF!,#REF!,D12,#REF!,E12,#REF!,"INVESTIMENTO",#REF!,"SIM"))</f>
        <v/>
      </c>
      <c r="M12" s="25" t="e">
        <f t="shared" ca="1" si="6"/>
        <v>#VALUE!</v>
      </c>
      <c r="N12" s="25" t="str">
        <f t="shared" ca="1" si="7"/>
        <v/>
      </c>
      <c r="O12" s="27" t="str">
        <f t="shared" ca="1" si="8"/>
        <v/>
      </c>
      <c r="P12" s="26" t="str">
        <f t="shared" ca="1" si="5"/>
        <v/>
      </c>
    </row>
    <row r="13" spans="1:17" s="49" customFormat="1" ht="20.25" customHeight="1" x14ac:dyDescent="0.2">
      <c r="A13" s="48"/>
      <c r="B13" s="47">
        <f t="shared" ca="1" si="2"/>
        <v>46445</v>
      </c>
      <c r="C13" s="47">
        <f t="shared" ca="1" si="3"/>
        <v>46322</v>
      </c>
      <c r="D13" s="48">
        <f t="shared" si="0"/>
        <v>2</v>
      </c>
      <c r="E13" s="48">
        <f t="shared" si="1"/>
        <v>2027</v>
      </c>
      <c r="F13" s="24">
        <v>46419</v>
      </c>
      <c r="G13" s="25">
        <v>3000</v>
      </c>
      <c r="H13" s="25" t="str">
        <f>IF(SUMIFS(tb_investimentos[VALOR 
TOTAL],tb_investimentos[Ano],E13,tb_investimentos[Mês],D13,tb_investimentos[FEITO?],"SIM",tb_investimentos[TIPO MOVIMENTAÇÃO],"Aporte")=0,"",SUMIFS(tb_investimentos[VALOR 
TOTAL],tb_investimentos[Ano],E13,tb_investimentos[Mês],D13,tb_investimentos[FEITO?],"SIM",tb_investimentos[TIPO MOVIMENTAÇÃO],"Aporte"))</f>
        <v/>
      </c>
      <c r="I13" s="25" t="e">
        <f t="shared" si="4"/>
        <v>#REF!</v>
      </c>
      <c r="J13" s="25" t="str">
        <f ca="1">IF(B13&gt;C13,"",IF(B13&gt;C13,0,SUMIFS(#REF!,#REF!,"&lt;"&amp;DATE(E14,D14,1),#REF!,"sim",#REF!,"&lt;&gt;"&amp;"EXTERIOR")))</f>
        <v/>
      </c>
      <c r="K13" s="25" t="e">
        <f t="shared" ref="K13:K44" si="9">I12*$M$3</f>
        <v>#REF!</v>
      </c>
      <c r="L13" s="25" t="str">
        <f ca="1">IF(B13&gt;C13,"",SUMIFS(#REF!,#REF!,D13,#REF!,E13,#REF!,"INVESTIMENTO",#REF!,"SIM"))</f>
        <v/>
      </c>
      <c r="M13" s="25" t="e">
        <f t="shared" ca="1" si="6"/>
        <v>#REF!</v>
      </c>
      <c r="N13" s="25" t="str">
        <f t="shared" ca="1" si="7"/>
        <v/>
      </c>
      <c r="O13" s="27" t="str">
        <f t="shared" ca="1" si="8"/>
        <v/>
      </c>
      <c r="P13" s="26" t="str">
        <f t="shared" ca="1" si="5"/>
        <v/>
      </c>
    </row>
    <row r="14" spans="1:17" s="49" customFormat="1" ht="20.25" customHeight="1" x14ac:dyDescent="0.2">
      <c r="A14" s="48"/>
      <c r="B14" s="47">
        <f t="shared" ca="1" si="2"/>
        <v>46473</v>
      </c>
      <c r="C14" s="47">
        <f t="shared" ca="1" si="3"/>
        <v>46322</v>
      </c>
      <c r="D14" s="48">
        <f t="shared" si="0"/>
        <v>3</v>
      </c>
      <c r="E14" s="48">
        <f t="shared" si="1"/>
        <v>2027</v>
      </c>
      <c r="F14" s="24">
        <v>46447</v>
      </c>
      <c r="G14" s="28" t="e">
        <f>3000+K14</f>
        <v>#REF!</v>
      </c>
      <c r="H14" s="25" t="str">
        <f>IF(SUMIFS(tb_investimentos[VALOR 
TOTAL],tb_investimentos[Ano],E14,tb_investimentos[Mês],D14,tb_investimentos[FEITO?],"SIM",tb_investimentos[TIPO MOVIMENTAÇÃO],"Aporte")=0,"",SUMIFS(tb_investimentos[VALOR 
TOTAL],tb_investimentos[Ano],E14,tb_investimentos[Mês],D14,tb_investimentos[FEITO?],"SIM",tb_investimentos[TIPO MOVIMENTAÇÃO],"Aporte"))</f>
        <v/>
      </c>
      <c r="I14" s="28" t="e">
        <f t="shared" si="4"/>
        <v>#REF!</v>
      </c>
      <c r="J14" s="28" t="str">
        <f ca="1">IF(B14&gt;C14,"",IF(B14&gt;C14,0,SUMIFS(#REF!,#REF!,"&lt;"&amp;DATE(E15,D15,1),#REF!,"sim",#REF!,"&lt;&gt;"&amp;"EXTERIOR")))</f>
        <v/>
      </c>
      <c r="K14" s="28" t="e">
        <f t="shared" si="9"/>
        <v>#REF!</v>
      </c>
      <c r="L14" s="28" t="str">
        <f ca="1">IF(B14&gt;C14,"",SUMIFS(#REF!,#REF!,D14,#REF!,E14,#REF!,"INVESTIMENTO",#REF!,"SIM"))</f>
        <v/>
      </c>
      <c r="M14" s="28" t="e">
        <f t="shared" ca="1" si="6"/>
        <v>#REF!</v>
      </c>
      <c r="N14" s="28" t="str">
        <f t="shared" ca="1" si="7"/>
        <v/>
      </c>
      <c r="O14" s="29" t="str">
        <f t="shared" ca="1" si="8"/>
        <v/>
      </c>
      <c r="P14" s="30" t="str">
        <f t="shared" ca="1" si="5"/>
        <v/>
      </c>
    </row>
    <row r="15" spans="1:17" s="49" customFormat="1" ht="20.25" customHeight="1" x14ac:dyDescent="0.2">
      <c r="A15" s="48"/>
      <c r="B15" s="47">
        <f t="shared" ca="1" si="2"/>
        <v>46504</v>
      </c>
      <c r="C15" s="47">
        <f t="shared" ca="1" si="3"/>
        <v>46322</v>
      </c>
      <c r="D15" s="48">
        <f t="shared" si="0"/>
        <v>4</v>
      </c>
      <c r="E15" s="48">
        <f t="shared" si="1"/>
        <v>2027</v>
      </c>
      <c r="F15" s="24">
        <v>46478</v>
      </c>
      <c r="G15" s="28" t="e">
        <f t="shared" ref="G15:G78" si="10">3000+K15</f>
        <v>#REF!</v>
      </c>
      <c r="H15" s="25" t="str">
        <f>IF(SUMIFS(tb_investimentos[VALOR 
TOTAL],tb_investimentos[Ano],E15,tb_investimentos[Mês],D15,tb_investimentos[FEITO?],"SIM",tb_investimentos[TIPO MOVIMENTAÇÃO],"Aporte")=0,"",SUMIFS(tb_investimentos[VALOR 
TOTAL],tb_investimentos[Ano],E15,tb_investimentos[Mês],D15,tb_investimentos[FEITO?],"SIM",tb_investimentos[TIPO MOVIMENTAÇÃO],"Aporte"))</f>
        <v/>
      </c>
      <c r="I15" s="28" t="e">
        <f t="shared" si="4"/>
        <v>#REF!</v>
      </c>
      <c r="J15" s="28" t="str">
        <f ca="1">IF(B15&gt;C15,"",IF(B15&gt;C15,0,SUMIFS(#REF!,#REF!,"&lt;"&amp;DATE(E16,D16,1),#REF!,"sim",#REF!,"&lt;&gt;"&amp;"EXTERIOR")))</f>
        <v/>
      </c>
      <c r="K15" s="28" t="e">
        <f t="shared" si="9"/>
        <v>#REF!</v>
      </c>
      <c r="L15" s="28" t="str">
        <f ca="1">IF(B15&gt;C15,"",SUMIFS(#REF!,#REF!,D15,#REF!,E15,#REF!,"INVESTIMENTO",#REF!,"SIM"))</f>
        <v/>
      </c>
      <c r="M15" s="28" t="e">
        <f t="shared" ca="1" si="6"/>
        <v>#REF!</v>
      </c>
      <c r="N15" s="28" t="str">
        <f t="shared" ca="1" si="7"/>
        <v/>
      </c>
      <c r="O15" s="29" t="str">
        <f t="shared" ca="1" si="8"/>
        <v/>
      </c>
      <c r="P15" s="30" t="str">
        <f t="shared" ca="1" si="5"/>
        <v/>
      </c>
    </row>
    <row r="16" spans="1:17" s="49" customFormat="1" ht="20.25" customHeight="1" x14ac:dyDescent="0.2">
      <c r="A16" s="48"/>
      <c r="B16" s="47">
        <f t="shared" ca="1" si="2"/>
        <v>46534</v>
      </c>
      <c r="C16" s="47">
        <f t="shared" ca="1" si="3"/>
        <v>46322</v>
      </c>
      <c r="D16" s="48">
        <f t="shared" si="0"/>
        <v>5</v>
      </c>
      <c r="E16" s="48">
        <f t="shared" si="1"/>
        <v>2027</v>
      </c>
      <c r="F16" s="24">
        <v>46508</v>
      </c>
      <c r="G16" s="28" t="e">
        <f t="shared" si="10"/>
        <v>#REF!</v>
      </c>
      <c r="H16" s="25" t="str">
        <f>IF(SUMIFS(tb_investimentos[VALOR 
TOTAL],tb_investimentos[Ano],E16,tb_investimentos[Mês],D16,tb_investimentos[FEITO?],"SIM",tb_investimentos[TIPO MOVIMENTAÇÃO],"Aporte")=0,"",SUMIFS(tb_investimentos[VALOR 
TOTAL],tb_investimentos[Ano],E16,tb_investimentos[Mês],D16,tb_investimentos[FEITO?],"SIM",tb_investimentos[TIPO MOVIMENTAÇÃO],"Aporte"))</f>
        <v/>
      </c>
      <c r="I16" s="28" t="e">
        <f t="shared" si="4"/>
        <v>#REF!</v>
      </c>
      <c r="J16" s="28" t="str">
        <f ca="1">IF(B16&gt;C16,"",IF(B16&gt;C16,0,SUMIFS(#REF!,#REF!,"&lt;"&amp;DATE(E17,D17,1),#REF!,"sim",#REF!,"&lt;&gt;"&amp;"EXTERIOR")))</f>
        <v/>
      </c>
      <c r="K16" s="28" t="e">
        <f t="shared" si="9"/>
        <v>#REF!</v>
      </c>
      <c r="L16" s="28" t="str">
        <f ca="1">IF(B16&gt;C16,"",SUMIFS(#REF!,#REF!,D16,#REF!,E16,#REF!,"INVESTIMENTO",#REF!,"SIM"))</f>
        <v/>
      </c>
      <c r="M16" s="28" t="e">
        <f t="shared" ca="1" si="6"/>
        <v>#REF!</v>
      </c>
      <c r="N16" s="28" t="str">
        <f t="shared" ca="1" si="7"/>
        <v/>
      </c>
      <c r="O16" s="29" t="str">
        <f t="shared" ca="1" si="8"/>
        <v/>
      </c>
      <c r="P16" s="30" t="str">
        <f t="shared" ca="1" si="5"/>
        <v/>
      </c>
    </row>
    <row r="17" spans="1:16" s="49" customFormat="1" ht="20.25" customHeight="1" x14ac:dyDescent="0.2">
      <c r="A17" s="48"/>
      <c r="B17" s="47">
        <f t="shared" ca="1" si="2"/>
        <v>46565</v>
      </c>
      <c r="C17" s="47">
        <f t="shared" ca="1" si="3"/>
        <v>46322</v>
      </c>
      <c r="D17" s="48">
        <f t="shared" si="0"/>
        <v>6</v>
      </c>
      <c r="E17" s="48">
        <f t="shared" si="1"/>
        <v>2027</v>
      </c>
      <c r="F17" s="24">
        <v>46539</v>
      </c>
      <c r="G17" s="28" t="e">
        <f t="shared" si="10"/>
        <v>#REF!</v>
      </c>
      <c r="H17" s="28" t="str">
        <f ca="1">IF(B17&gt;C17,"",SUMIFS(#REF!,#REF!,D17,#REF!,E17,#REF!,"SIM")-SUMIFS(#REF!,#REF!,D17,#REF!,E17,#REF!,"SIM",#REF!,"EXTERIOR"))</f>
        <v/>
      </c>
      <c r="I17" s="28" t="e">
        <f t="shared" si="4"/>
        <v>#REF!</v>
      </c>
      <c r="J17" s="28" t="str">
        <f ca="1">IF(B17&gt;C17,"",IF(B17&gt;C17,0,SUMIFS(#REF!,#REF!,"&lt;"&amp;DATE(E18,D18,1),#REF!,"sim",#REF!,"&lt;&gt;"&amp;"EXTERIOR")))</f>
        <v/>
      </c>
      <c r="K17" s="28" t="e">
        <f t="shared" si="9"/>
        <v>#REF!</v>
      </c>
      <c r="L17" s="28" t="str">
        <f ca="1">IF(B17&gt;C17,"",SUMIFS(#REF!,#REF!,D17,#REF!,E17,#REF!,"INVESTIMENTO",#REF!,"SIM"))</f>
        <v/>
      </c>
      <c r="M17" s="28" t="e">
        <f t="shared" ca="1" si="6"/>
        <v>#REF!</v>
      </c>
      <c r="N17" s="28" t="str">
        <f t="shared" ca="1" si="7"/>
        <v/>
      </c>
      <c r="O17" s="29" t="str">
        <f t="shared" ca="1" si="8"/>
        <v/>
      </c>
      <c r="P17" s="30" t="str">
        <f t="shared" ca="1" si="5"/>
        <v/>
      </c>
    </row>
    <row r="18" spans="1:16" s="49" customFormat="1" ht="20.25" customHeight="1" x14ac:dyDescent="0.2">
      <c r="A18" s="48"/>
      <c r="B18" s="47">
        <f t="shared" ca="1" si="2"/>
        <v>46595</v>
      </c>
      <c r="C18" s="47">
        <f t="shared" ca="1" si="3"/>
        <v>46322</v>
      </c>
      <c r="D18" s="48">
        <f t="shared" si="0"/>
        <v>7</v>
      </c>
      <c r="E18" s="48">
        <f t="shared" si="1"/>
        <v>2027</v>
      </c>
      <c r="F18" s="24">
        <v>46569</v>
      </c>
      <c r="G18" s="28" t="e">
        <f t="shared" si="10"/>
        <v>#REF!</v>
      </c>
      <c r="H18" s="28" t="str">
        <f ca="1">IF(B18&gt;C18,"",SUMIFS(#REF!,#REF!,D18,#REF!,E18,#REF!,"SIM")-SUMIFS(#REF!,#REF!,D18,#REF!,E18,#REF!,"SIM",#REF!,"EXTERIOR"))</f>
        <v/>
      </c>
      <c r="I18" s="28" t="e">
        <f t="shared" si="4"/>
        <v>#REF!</v>
      </c>
      <c r="J18" s="28" t="str">
        <f ca="1">IF(B18&gt;C18,"",IF(B18&gt;C18,0,SUMIFS(#REF!,#REF!,"&lt;"&amp;DATE(E19,D19,1),#REF!,"sim",#REF!,"&lt;&gt;"&amp;"EXTERIOR")))</f>
        <v/>
      </c>
      <c r="K18" s="28" t="e">
        <f t="shared" si="9"/>
        <v>#REF!</v>
      </c>
      <c r="L18" s="28" t="str">
        <f ca="1">IF(B18&gt;C18,"",SUMIFS(#REF!,#REF!,D18,#REF!,E18,#REF!,"INVESTIMENTO",#REF!,"SIM"))</f>
        <v/>
      </c>
      <c r="M18" s="28" t="e">
        <f t="shared" ca="1" si="6"/>
        <v>#REF!</v>
      </c>
      <c r="N18" s="28" t="str">
        <f t="shared" ca="1" si="7"/>
        <v/>
      </c>
      <c r="O18" s="29" t="str">
        <f t="shared" ca="1" si="8"/>
        <v/>
      </c>
      <c r="P18" s="30" t="str">
        <f t="shared" ca="1" si="5"/>
        <v/>
      </c>
    </row>
    <row r="19" spans="1:16" s="49" customFormat="1" ht="20.25" customHeight="1" x14ac:dyDescent="0.2">
      <c r="A19" s="48"/>
      <c r="B19" s="47">
        <f t="shared" ca="1" si="2"/>
        <v>46626</v>
      </c>
      <c r="C19" s="47">
        <f t="shared" ca="1" si="3"/>
        <v>46322</v>
      </c>
      <c r="D19" s="48">
        <f t="shared" si="0"/>
        <v>8</v>
      </c>
      <c r="E19" s="48">
        <f t="shared" si="1"/>
        <v>2027</v>
      </c>
      <c r="F19" s="24">
        <v>46600</v>
      </c>
      <c r="G19" s="28" t="e">
        <f t="shared" si="10"/>
        <v>#REF!</v>
      </c>
      <c r="H19" s="28" t="str">
        <f ca="1">IF(B19&gt;C19,"",SUMIFS(#REF!,#REF!,D19,#REF!,E19,#REF!,"SIM")-SUMIFS(#REF!,#REF!,D19,#REF!,E19,#REF!,"SIM",#REF!,"EXTERIOR"))</f>
        <v/>
      </c>
      <c r="I19" s="28" t="e">
        <f t="shared" si="4"/>
        <v>#REF!</v>
      </c>
      <c r="J19" s="28" t="str">
        <f ca="1">IF(B19&gt;C19,"",IF(B19&gt;C19,0,SUMIFS(#REF!,#REF!,"&lt;"&amp;DATE(E20,D20,1),#REF!,"sim",#REF!,"&lt;&gt;"&amp;"EXTERIOR")))</f>
        <v/>
      </c>
      <c r="K19" s="28" t="e">
        <f t="shared" si="9"/>
        <v>#REF!</v>
      </c>
      <c r="L19" s="28" t="str">
        <f ca="1">IF(B19&gt;C19,"",SUMIFS(#REF!,#REF!,D19,#REF!,E19,#REF!,"INVESTIMENTO",#REF!,"SIM"))</f>
        <v/>
      </c>
      <c r="M19" s="28" t="e">
        <f t="shared" ca="1" si="6"/>
        <v>#REF!</v>
      </c>
      <c r="N19" s="28" t="str">
        <f t="shared" ca="1" si="7"/>
        <v/>
      </c>
      <c r="O19" s="29" t="str">
        <f t="shared" ca="1" si="8"/>
        <v/>
      </c>
      <c r="P19" s="30" t="str">
        <f t="shared" ca="1" si="5"/>
        <v/>
      </c>
    </row>
    <row r="20" spans="1:16" s="49" customFormat="1" ht="20.25" customHeight="1" x14ac:dyDescent="0.2">
      <c r="A20" s="48"/>
      <c r="B20" s="47">
        <f t="shared" ca="1" si="2"/>
        <v>46657</v>
      </c>
      <c r="C20" s="47">
        <f t="shared" ca="1" si="3"/>
        <v>46322</v>
      </c>
      <c r="D20" s="48">
        <f t="shared" si="0"/>
        <v>9</v>
      </c>
      <c r="E20" s="48">
        <f t="shared" si="1"/>
        <v>2027</v>
      </c>
      <c r="F20" s="24">
        <v>46631</v>
      </c>
      <c r="G20" s="28" t="e">
        <f t="shared" si="10"/>
        <v>#REF!</v>
      </c>
      <c r="H20" s="28" t="str">
        <f ca="1">IF(B20&gt;C20,"",SUMIFS(#REF!,#REF!,D20,#REF!,E20,#REF!,"SIM")-SUMIFS(#REF!,#REF!,D20,#REF!,E20,#REF!,"SIM",#REF!,"EXTERIOR"))</f>
        <v/>
      </c>
      <c r="I20" s="28" t="e">
        <f t="shared" si="4"/>
        <v>#REF!</v>
      </c>
      <c r="J20" s="28" t="str">
        <f ca="1">IF(B20&gt;C20,"",IF(B20&gt;C20,0,SUMIFS(#REF!,#REF!,"&lt;"&amp;DATE(E21,D21,1),#REF!,"sim",#REF!,"&lt;&gt;"&amp;"EXTERIOR")))</f>
        <v/>
      </c>
      <c r="K20" s="28" t="e">
        <f t="shared" si="9"/>
        <v>#REF!</v>
      </c>
      <c r="L20" s="28" t="str">
        <f ca="1">IF(B20&gt;C20,"",SUMIFS(#REF!,#REF!,D20,#REF!,E20,#REF!,"INVESTIMENTO",#REF!,"SIM"))</f>
        <v/>
      </c>
      <c r="M20" s="28" t="e">
        <f t="shared" ca="1" si="6"/>
        <v>#REF!</v>
      </c>
      <c r="N20" s="28" t="str">
        <f t="shared" ca="1" si="7"/>
        <v/>
      </c>
      <c r="O20" s="29" t="str">
        <f t="shared" ca="1" si="8"/>
        <v/>
      </c>
      <c r="P20" s="30" t="str">
        <f t="shared" ca="1" si="5"/>
        <v/>
      </c>
    </row>
    <row r="21" spans="1:16" s="49" customFormat="1" ht="20.25" customHeight="1" x14ac:dyDescent="0.2">
      <c r="A21" s="48"/>
      <c r="B21" s="47">
        <f t="shared" ca="1" si="2"/>
        <v>46687</v>
      </c>
      <c r="C21" s="47">
        <f t="shared" ca="1" si="3"/>
        <v>46322</v>
      </c>
      <c r="D21" s="48">
        <f t="shared" si="0"/>
        <v>10</v>
      </c>
      <c r="E21" s="48">
        <f t="shared" si="1"/>
        <v>2027</v>
      </c>
      <c r="F21" s="24">
        <v>46661</v>
      </c>
      <c r="G21" s="28" t="e">
        <f t="shared" si="10"/>
        <v>#REF!</v>
      </c>
      <c r="H21" s="28" t="str">
        <f ca="1">IF(B21&gt;C21,"",SUMIFS(#REF!,#REF!,D21,#REF!,E21,#REF!,"SIM")-SUMIFS(#REF!,#REF!,D21,#REF!,E21,#REF!,"SIM",#REF!,"EXTERIOR"))</f>
        <v/>
      </c>
      <c r="I21" s="28" t="e">
        <f t="shared" si="4"/>
        <v>#REF!</v>
      </c>
      <c r="J21" s="28" t="str">
        <f ca="1">IF(B21&gt;C21,"",IF(B21&gt;C21,0,SUMIFS(#REF!,#REF!,"&lt;"&amp;DATE(E22,D22,1),#REF!,"sim",#REF!,"&lt;&gt;"&amp;"EXTERIOR")))</f>
        <v/>
      </c>
      <c r="K21" s="28" t="e">
        <f t="shared" si="9"/>
        <v>#REF!</v>
      </c>
      <c r="L21" s="28" t="str">
        <f ca="1">IF(B21&gt;C21,"",SUMIFS(#REF!,#REF!,D21,#REF!,E21,#REF!,"INVESTIMENTO",#REF!,"SIM"))</f>
        <v/>
      </c>
      <c r="M21" s="28" t="e">
        <f t="shared" ca="1" si="6"/>
        <v>#REF!</v>
      </c>
      <c r="N21" s="28" t="str">
        <f t="shared" ca="1" si="7"/>
        <v/>
      </c>
      <c r="O21" s="29" t="str">
        <f t="shared" ca="1" si="8"/>
        <v/>
      </c>
      <c r="P21" s="30" t="str">
        <f t="shared" ca="1" si="5"/>
        <v/>
      </c>
    </row>
    <row r="22" spans="1:16" s="49" customFormat="1" ht="20.25" customHeight="1" x14ac:dyDescent="0.2">
      <c r="A22" s="48"/>
      <c r="B22" s="47">
        <f t="shared" ca="1" si="2"/>
        <v>46718</v>
      </c>
      <c r="C22" s="47">
        <f t="shared" ca="1" si="3"/>
        <v>46322</v>
      </c>
      <c r="D22" s="48">
        <f t="shared" si="0"/>
        <v>11</v>
      </c>
      <c r="E22" s="48">
        <f t="shared" si="1"/>
        <v>2027</v>
      </c>
      <c r="F22" s="24">
        <v>46692</v>
      </c>
      <c r="G22" s="28" t="e">
        <f t="shared" si="10"/>
        <v>#REF!</v>
      </c>
      <c r="H22" s="28" t="str">
        <f ca="1">IF(B22&gt;C22,"",SUMIFS(#REF!,#REF!,D22,#REF!,E22,#REF!,"SIM")-SUMIFS(#REF!,#REF!,D22,#REF!,E22,#REF!,"SIM",#REF!,"EXTERIOR"))</f>
        <v/>
      </c>
      <c r="I22" s="28" t="e">
        <f t="shared" si="4"/>
        <v>#REF!</v>
      </c>
      <c r="J22" s="28" t="str">
        <f ca="1">IF(B22&gt;C22,"",IF(B22&gt;C22,0,SUMIFS(#REF!,#REF!,"&lt;"&amp;DATE(E23,D23,1),#REF!,"sim",#REF!,"&lt;&gt;"&amp;"EXTERIOR")))</f>
        <v/>
      </c>
      <c r="K22" s="28" t="e">
        <f t="shared" si="9"/>
        <v>#REF!</v>
      </c>
      <c r="L22" s="28" t="str">
        <f ca="1">IF(B22&gt;C22,"",SUMIFS(#REF!,#REF!,D22,#REF!,E22,#REF!,"INVESTIMENTO",#REF!,"SIM"))</f>
        <v/>
      </c>
      <c r="M22" s="28" t="e">
        <f t="shared" ca="1" si="6"/>
        <v>#REF!</v>
      </c>
      <c r="N22" s="28" t="str">
        <f t="shared" ca="1" si="7"/>
        <v/>
      </c>
      <c r="O22" s="29" t="str">
        <f t="shared" ca="1" si="8"/>
        <v/>
      </c>
      <c r="P22" s="30" t="str">
        <f t="shared" ca="1" si="5"/>
        <v/>
      </c>
    </row>
    <row r="23" spans="1:16" s="49" customFormat="1" ht="20.25" customHeight="1" x14ac:dyDescent="0.2">
      <c r="A23" s="48"/>
      <c r="B23" s="47">
        <f t="shared" ca="1" si="2"/>
        <v>46748</v>
      </c>
      <c r="C23" s="47">
        <f t="shared" ca="1" si="3"/>
        <v>46322</v>
      </c>
      <c r="D23" s="48">
        <f t="shared" si="0"/>
        <v>12</v>
      </c>
      <c r="E23" s="48">
        <f t="shared" si="1"/>
        <v>2027</v>
      </c>
      <c r="F23" s="24">
        <v>46722</v>
      </c>
      <c r="G23" s="28" t="e">
        <f t="shared" si="10"/>
        <v>#REF!</v>
      </c>
      <c r="H23" s="28" t="str">
        <f ca="1">IF(B23&gt;C23,"",SUMIFS(#REF!,#REF!,D23,#REF!,E23,#REF!,"SIM")-SUMIFS(#REF!,#REF!,D23,#REF!,E23,#REF!,"SIM",#REF!,"EXTERIOR"))</f>
        <v/>
      </c>
      <c r="I23" s="28" t="e">
        <f t="shared" si="4"/>
        <v>#REF!</v>
      </c>
      <c r="J23" s="28" t="str">
        <f ca="1">IF(B23&gt;C23,"",IF(B23&gt;C23,0,SUMIFS(#REF!,#REF!,"&lt;"&amp;DATE(E24,D24,1),#REF!,"sim",#REF!,"&lt;&gt;"&amp;"EXTERIOR")))</f>
        <v/>
      </c>
      <c r="K23" s="28" t="e">
        <f t="shared" si="9"/>
        <v>#REF!</v>
      </c>
      <c r="L23" s="28" t="str">
        <f ca="1">IF(B23&gt;C23,"",SUMIFS(#REF!,#REF!,D23,#REF!,E23,#REF!,"INVESTIMENTO",#REF!,"SIM"))</f>
        <v/>
      </c>
      <c r="M23" s="28" t="e">
        <f t="shared" ca="1" si="6"/>
        <v>#REF!</v>
      </c>
      <c r="N23" s="28" t="str">
        <f t="shared" ca="1" si="7"/>
        <v/>
      </c>
      <c r="O23" s="29" t="str">
        <f t="shared" ca="1" si="8"/>
        <v/>
      </c>
      <c r="P23" s="30" t="str">
        <f t="shared" ca="1" si="5"/>
        <v/>
      </c>
    </row>
    <row r="24" spans="1:16" s="49" customFormat="1" ht="20.25" customHeight="1" x14ac:dyDescent="0.2">
      <c r="A24" s="48"/>
      <c r="B24" s="47">
        <f t="shared" ca="1" si="2"/>
        <v>46779</v>
      </c>
      <c r="C24" s="47">
        <f t="shared" ca="1" si="3"/>
        <v>46322</v>
      </c>
      <c r="D24" s="48">
        <f t="shared" si="0"/>
        <v>1</v>
      </c>
      <c r="E24" s="48">
        <f t="shared" si="1"/>
        <v>2028</v>
      </c>
      <c r="F24" s="24">
        <v>46753</v>
      </c>
      <c r="G24" s="28" t="e">
        <f t="shared" si="10"/>
        <v>#REF!</v>
      </c>
      <c r="H24" s="28" t="str">
        <f ca="1">IF(B24&gt;C24,"",SUMIFS(#REF!,#REF!,D24,#REF!,E24,#REF!,"SIM")-SUMIFS(#REF!,#REF!,D24,#REF!,E24,#REF!,"SIM",#REF!,"EXTERIOR"))</f>
        <v/>
      </c>
      <c r="I24" s="28" t="e">
        <f t="shared" si="4"/>
        <v>#REF!</v>
      </c>
      <c r="J24" s="28" t="str">
        <f ca="1">IF(B24&gt;C24,"",IF(B24&gt;C24,0,SUMIFS(#REF!,#REF!,"&lt;"&amp;DATE(E25,D25,1),#REF!,"sim",#REF!,"&lt;&gt;"&amp;"EXTERIOR")))</f>
        <v/>
      </c>
      <c r="K24" s="28" t="e">
        <f t="shared" si="9"/>
        <v>#REF!</v>
      </c>
      <c r="L24" s="28" t="str">
        <f ca="1">IF(B24&gt;C24,"",SUMIFS(#REF!,#REF!,D24,#REF!,E24,#REF!,"INVESTIMENTO",#REF!,"SIM"))</f>
        <v/>
      </c>
      <c r="M24" s="28" t="e">
        <f t="shared" ca="1" si="6"/>
        <v>#REF!</v>
      </c>
      <c r="N24" s="28" t="str">
        <f t="shared" ca="1" si="7"/>
        <v/>
      </c>
      <c r="O24" s="29" t="str">
        <f t="shared" ca="1" si="8"/>
        <v/>
      </c>
      <c r="P24" s="30" t="str">
        <f t="shared" ca="1" si="5"/>
        <v/>
      </c>
    </row>
    <row r="25" spans="1:16" s="49" customFormat="1" ht="20.25" customHeight="1" x14ac:dyDescent="0.2">
      <c r="A25" s="48"/>
      <c r="B25" s="47">
        <f t="shared" ca="1" si="2"/>
        <v>46810</v>
      </c>
      <c r="C25" s="47">
        <f t="shared" ca="1" si="3"/>
        <v>46322</v>
      </c>
      <c r="D25" s="48">
        <f t="shared" si="0"/>
        <v>2</v>
      </c>
      <c r="E25" s="48">
        <f t="shared" si="1"/>
        <v>2028</v>
      </c>
      <c r="F25" s="24">
        <v>46784</v>
      </c>
      <c r="G25" s="28" t="e">
        <f t="shared" si="10"/>
        <v>#REF!</v>
      </c>
      <c r="H25" s="28" t="str">
        <f ca="1">IF(B25&gt;C25,"",SUMIFS(#REF!,#REF!,D25,#REF!,E25,#REF!,"SIM")-SUMIFS(#REF!,#REF!,D25,#REF!,E25,#REF!,"SIM",#REF!,"EXTERIOR"))</f>
        <v/>
      </c>
      <c r="I25" s="28" t="e">
        <f t="shared" si="4"/>
        <v>#REF!</v>
      </c>
      <c r="J25" s="28" t="str">
        <f ca="1">IF(B25&gt;C25,"",IF(B25&gt;C25,0,SUMIFS(#REF!,#REF!,"&lt;"&amp;DATE(E26,D26,1),#REF!,"sim",#REF!,"&lt;&gt;"&amp;"EXTERIOR")))</f>
        <v/>
      </c>
      <c r="K25" s="28" t="e">
        <f t="shared" si="9"/>
        <v>#REF!</v>
      </c>
      <c r="L25" s="28" t="str">
        <f ca="1">IF(B25&gt;C25,"",SUMIFS(#REF!,#REF!,D25,#REF!,E25,#REF!,"INVESTIMENTO",#REF!,"SIM"))</f>
        <v/>
      </c>
      <c r="M25" s="28" t="e">
        <f t="shared" ca="1" si="6"/>
        <v>#REF!</v>
      </c>
      <c r="N25" s="28" t="str">
        <f t="shared" ca="1" si="7"/>
        <v/>
      </c>
      <c r="O25" s="29" t="str">
        <f t="shared" ca="1" si="8"/>
        <v/>
      </c>
      <c r="P25" s="30" t="str">
        <f t="shared" ca="1" si="5"/>
        <v/>
      </c>
    </row>
    <row r="26" spans="1:16" s="49" customFormat="1" ht="20.25" customHeight="1" x14ac:dyDescent="0.2">
      <c r="A26" s="48"/>
      <c r="B26" s="47">
        <f t="shared" ref="B26:B89" ca="1" si="11">DATE(E26,D26,DAY(TODAY()))</f>
        <v>46839</v>
      </c>
      <c r="C26" s="47">
        <f t="shared" ca="1" si="3"/>
        <v>46322</v>
      </c>
      <c r="D26" s="48">
        <f t="shared" si="0"/>
        <v>3</v>
      </c>
      <c r="E26" s="48">
        <f t="shared" si="1"/>
        <v>2028</v>
      </c>
      <c r="F26" s="24">
        <v>46813</v>
      </c>
      <c r="G26" s="28" t="e">
        <f t="shared" si="10"/>
        <v>#REF!</v>
      </c>
      <c r="H26" s="28" t="str">
        <f ca="1">IF(B26&gt;C26,"",SUMIFS(#REF!,#REF!,D26,#REF!,E26,#REF!,"SIM")-SUMIFS(#REF!,#REF!,D26,#REF!,E26,#REF!,"SIM",#REF!,"EXTERIOR"))</f>
        <v/>
      </c>
      <c r="I26" s="28" t="e">
        <f t="shared" si="4"/>
        <v>#REF!</v>
      </c>
      <c r="J26" s="28" t="str">
        <f ca="1">IF(B26&gt;C26,"",IF(B26&gt;C26,0,SUMIFS(#REF!,#REF!,"&lt;"&amp;DATE(E27,D27,1),#REF!,"sim",#REF!,"&lt;&gt;"&amp;"EXTERIOR")))</f>
        <v/>
      </c>
      <c r="K26" s="28" t="e">
        <f t="shared" si="9"/>
        <v>#REF!</v>
      </c>
      <c r="L26" s="28" t="str">
        <f ca="1">IF(B26&gt;C26,"",SUMIFS(#REF!,#REF!,D26,#REF!,E26,#REF!,"INVESTIMENTO",#REF!,"SIM"))</f>
        <v/>
      </c>
      <c r="M26" s="28" t="e">
        <f t="shared" ca="1" si="6"/>
        <v>#REF!</v>
      </c>
      <c r="N26" s="28" t="str">
        <f t="shared" ca="1" si="7"/>
        <v/>
      </c>
      <c r="O26" s="29" t="str">
        <f t="shared" ca="1" si="8"/>
        <v/>
      </c>
      <c r="P26" s="30" t="str">
        <f t="shared" ca="1" si="5"/>
        <v/>
      </c>
    </row>
    <row r="27" spans="1:16" s="49" customFormat="1" ht="20.25" customHeight="1" x14ac:dyDescent="0.2">
      <c r="A27" s="48"/>
      <c r="B27" s="47">
        <f t="shared" ca="1" si="11"/>
        <v>46870</v>
      </c>
      <c r="C27" s="47">
        <f t="shared" ca="1" si="3"/>
        <v>46322</v>
      </c>
      <c r="D27" s="48">
        <f t="shared" si="0"/>
        <v>4</v>
      </c>
      <c r="E27" s="48">
        <f t="shared" si="1"/>
        <v>2028</v>
      </c>
      <c r="F27" s="24">
        <v>46844</v>
      </c>
      <c r="G27" s="28" t="e">
        <f t="shared" si="10"/>
        <v>#REF!</v>
      </c>
      <c r="H27" s="28" t="str">
        <f ca="1">IF(B27&gt;C27,"",SUMIFS(#REF!,#REF!,D27,#REF!,E27,#REF!,"SIM")-SUMIFS(#REF!,#REF!,D27,#REF!,E27,#REF!,"SIM",#REF!,"EXTERIOR"))</f>
        <v/>
      </c>
      <c r="I27" s="28" t="e">
        <f t="shared" si="4"/>
        <v>#REF!</v>
      </c>
      <c r="J27" s="28" t="str">
        <f ca="1">IF(B27&gt;C27,"",IF(B27&gt;C27,0,SUMIFS(#REF!,#REF!,"&lt;"&amp;DATE(E28,D28,1),#REF!,"sim",#REF!,"&lt;&gt;"&amp;"EXTERIOR")))</f>
        <v/>
      </c>
      <c r="K27" s="28" t="e">
        <f t="shared" si="9"/>
        <v>#REF!</v>
      </c>
      <c r="L27" s="28" t="str">
        <f ca="1">IF(B27&gt;C27,"",SUMIFS(#REF!,#REF!,D27,#REF!,E27,#REF!,"INVESTIMENTO",#REF!,"SIM"))</f>
        <v/>
      </c>
      <c r="M27" s="28" t="e">
        <f t="shared" ca="1" si="6"/>
        <v>#REF!</v>
      </c>
      <c r="N27" s="28" t="str">
        <f t="shared" ca="1" si="7"/>
        <v/>
      </c>
      <c r="O27" s="29" t="str">
        <f t="shared" ca="1" si="8"/>
        <v/>
      </c>
      <c r="P27" s="30" t="str">
        <f t="shared" ca="1" si="5"/>
        <v/>
      </c>
    </row>
    <row r="28" spans="1:16" s="49" customFormat="1" ht="20.25" customHeight="1" x14ac:dyDescent="0.2">
      <c r="A28" s="48"/>
      <c r="B28" s="47">
        <f t="shared" ca="1" si="11"/>
        <v>46900</v>
      </c>
      <c r="C28" s="47">
        <f t="shared" ca="1" si="3"/>
        <v>46322</v>
      </c>
      <c r="D28" s="48">
        <f t="shared" si="0"/>
        <v>5</v>
      </c>
      <c r="E28" s="48">
        <f t="shared" si="1"/>
        <v>2028</v>
      </c>
      <c r="F28" s="24">
        <v>46874</v>
      </c>
      <c r="G28" s="28" t="e">
        <f t="shared" si="10"/>
        <v>#REF!</v>
      </c>
      <c r="H28" s="28" t="str">
        <f ca="1">IF(B28&gt;C28,"",SUMIFS(#REF!,#REF!,D28,#REF!,E28,#REF!,"SIM")-SUMIFS(#REF!,#REF!,D28,#REF!,E28,#REF!,"SIM",#REF!,"EXTERIOR"))</f>
        <v/>
      </c>
      <c r="I28" s="28" t="e">
        <f t="shared" si="4"/>
        <v>#REF!</v>
      </c>
      <c r="J28" s="28" t="str">
        <f ca="1">IF(B28&gt;C28,"",IF(B28&gt;C28,0,SUMIFS(#REF!,#REF!,"&lt;"&amp;DATE(E29,D29,1),#REF!,"sim",#REF!,"&lt;&gt;"&amp;"EXTERIOR")))</f>
        <v/>
      </c>
      <c r="K28" s="28" t="e">
        <f t="shared" si="9"/>
        <v>#REF!</v>
      </c>
      <c r="L28" s="28" t="str">
        <f ca="1">IF(B28&gt;C28,"",SUMIFS(#REF!,#REF!,D28,#REF!,E28,#REF!,"INVESTIMENTO",#REF!,"SIM"))</f>
        <v/>
      </c>
      <c r="M28" s="28" t="e">
        <f t="shared" ca="1" si="6"/>
        <v>#REF!</v>
      </c>
      <c r="N28" s="28" t="str">
        <f t="shared" ca="1" si="7"/>
        <v/>
      </c>
      <c r="O28" s="29" t="str">
        <f t="shared" ca="1" si="8"/>
        <v/>
      </c>
      <c r="P28" s="30" t="str">
        <f t="shared" ca="1" si="5"/>
        <v/>
      </c>
    </row>
    <row r="29" spans="1:16" s="49" customFormat="1" ht="20.25" customHeight="1" x14ac:dyDescent="0.2">
      <c r="A29" s="48"/>
      <c r="B29" s="47">
        <f t="shared" ca="1" si="11"/>
        <v>46931</v>
      </c>
      <c r="C29" s="47">
        <f t="shared" ca="1" si="3"/>
        <v>46322</v>
      </c>
      <c r="D29" s="48">
        <f t="shared" si="0"/>
        <v>6</v>
      </c>
      <c r="E29" s="48">
        <f t="shared" si="1"/>
        <v>2028</v>
      </c>
      <c r="F29" s="24">
        <v>46905</v>
      </c>
      <c r="G29" s="28" t="e">
        <f t="shared" si="10"/>
        <v>#REF!</v>
      </c>
      <c r="H29" s="28" t="str">
        <f ca="1">IF(B29&gt;C29,"",SUMIFS(#REF!,#REF!,D29,#REF!,E29,#REF!,"SIM")-SUMIFS(#REF!,#REF!,D29,#REF!,E29,#REF!,"SIM",#REF!,"EXTERIOR"))</f>
        <v/>
      </c>
      <c r="I29" s="28" t="e">
        <f t="shared" si="4"/>
        <v>#REF!</v>
      </c>
      <c r="J29" s="28" t="str">
        <f ca="1">IF(B29&gt;C29,"",IF(B29&gt;C29,0,SUMIFS(#REF!,#REF!,"&lt;"&amp;DATE(E30,D30,1),#REF!,"sim",#REF!,"&lt;&gt;"&amp;"EXTERIOR")))</f>
        <v/>
      </c>
      <c r="K29" s="28" t="e">
        <f t="shared" si="9"/>
        <v>#REF!</v>
      </c>
      <c r="L29" s="28" t="str">
        <f ca="1">IF(B29&gt;C29,"",SUMIFS(#REF!,#REF!,D29,#REF!,E29,#REF!,"INVESTIMENTO",#REF!,"SIM"))</f>
        <v/>
      </c>
      <c r="M29" s="28" t="e">
        <f t="shared" ca="1" si="6"/>
        <v>#REF!</v>
      </c>
      <c r="N29" s="28" t="str">
        <f t="shared" ca="1" si="7"/>
        <v/>
      </c>
      <c r="O29" s="29" t="str">
        <f t="shared" ca="1" si="8"/>
        <v/>
      </c>
      <c r="P29" s="30" t="str">
        <f t="shared" ca="1" si="5"/>
        <v/>
      </c>
    </row>
    <row r="30" spans="1:16" s="49" customFormat="1" ht="20.25" customHeight="1" x14ac:dyDescent="0.2">
      <c r="A30" s="48"/>
      <c r="B30" s="47">
        <f t="shared" ca="1" si="11"/>
        <v>46961</v>
      </c>
      <c r="C30" s="47">
        <f t="shared" ca="1" si="3"/>
        <v>46322</v>
      </c>
      <c r="D30" s="48">
        <f t="shared" si="0"/>
        <v>7</v>
      </c>
      <c r="E30" s="48">
        <f t="shared" si="1"/>
        <v>2028</v>
      </c>
      <c r="F30" s="24">
        <v>46935</v>
      </c>
      <c r="G30" s="28" t="e">
        <f t="shared" si="10"/>
        <v>#REF!</v>
      </c>
      <c r="H30" s="28" t="str">
        <f ca="1">IF(B30&gt;C30,"",SUMIFS(#REF!,#REF!,D30,#REF!,E30,#REF!,"SIM")-SUMIFS(#REF!,#REF!,D30,#REF!,E30,#REF!,"SIM",#REF!,"EXTERIOR"))</f>
        <v/>
      </c>
      <c r="I30" s="28" t="e">
        <f t="shared" si="4"/>
        <v>#REF!</v>
      </c>
      <c r="J30" s="28" t="str">
        <f ca="1">IF(B30&gt;C30,"",IF(B30&gt;C30,0,SUMIFS(#REF!,#REF!,"&lt;"&amp;DATE(E31,D31,1),#REF!,"sim",#REF!,"&lt;&gt;"&amp;"EXTERIOR")))</f>
        <v/>
      </c>
      <c r="K30" s="28" t="e">
        <f t="shared" si="9"/>
        <v>#REF!</v>
      </c>
      <c r="L30" s="28" t="str">
        <f ca="1">IF(B30&gt;C30,"",SUMIFS(#REF!,#REF!,D30,#REF!,E30,#REF!,"INVESTIMENTO",#REF!,"SIM"))</f>
        <v/>
      </c>
      <c r="M30" s="28" t="e">
        <f t="shared" ca="1" si="6"/>
        <v>#REF!</v>
      </c>
      <c r="N30" s="28" t="str">
        <f t="shared" ca="1" si="7"/>
        <v/>
      </c>
      <c r="O30" s="29" t="str">
        <f t="shared" ca="1" si="8"/>
        <v/>
      </c>
      <c r="P30" s="30" t="str">
        <f t="shared" ca="1" si="5"/>
        <v/>
      </c>
    </row>
    <row r="31" spans="1:16" s="49" customFormat="1" ht="20.25" customHeight="1" x14ac:dyDescent="0.2">
      <c r="A31" s="48"/>
      <c r="B31" s="47">
        <f t="shared" ca="1" si="11"/>
        <v>46992</v>
      </c>
      <c r="C31" s="47">
        <f t="shared" ca="1" si="3"/>
        <v>46322</v>
      </c>
      <c r="D31" s="48">
        <f t="shared" si="0"/>
        <v>8</v>
      </c>
      <c r="E31" s="48">
        <f t="shared" si="1"/>
        <v>2028</v>
      </c>
      <c r="F31" s="24">
        <v>46966</v>
      </c>
      <c r="G31" s="28" t="e">
        <f t="shared" si="10"/>
        <v>#REF!</v>
      </c>
      <c r="H31" s="28" t="str">
        <f ca="1">IF(B31&gt;C31,"",SUMIFS(#REF!,#REF!,D31,#REF!,E31,#REF!,"SIM")-SUMIFS(#REF!,#REF!,D31,#REF!,E31,#REF!,"SIM",#REF!,"EXTERIOR"))</f>
        <v/>
      </c>
      <c r="I31" s="28" t="e">
        <f t="shared" si="4"/>
        <v>#REF!</v>
      </c>
      <c r="J31" s="28" t="str">
        <f ca="1">IF(B31&gt;C31,"",IF(B31&gt;C31,0,SUMIFS(#REF!,#REF!,"&lt;"&amp;DATE(E32,D32,1),#REF!,"sim",#REF!,"&lt;&gt;"&amp;"EXTERIOR")))</f>
        <v/>
      </c>
      <c r="K31" s="28" t="e">
        <f t="shared" si="9"/>
        <v>#REF!</v>
      </c>
      <c r="L31" s="28" t="str">
        <f ca="1">IF(B31&gt;C31,"",SUMIFS(#REF!,#REF!,D31,#REF!,E31,#REF!,"INVESTIMENTO",#REF!,"SIM"))</f>
        <v/>
      </c>
      <c r="M31" s="28" t="e">
        <f t="shared" ca="1" si="6"/>
        <v>#REF!</v>
      </c>
      <c r="N31" s="28" t="str">
        <f t="shared" ca="1" si="7"/>
        <v/>
      </c>
      <c r="O31" s="29" t="str">
        <f t="shared" ca="1" si="8"/>
        <v/>
      </c>
      <c r="P31" s="30" t="str">
        <f t="shared" ca="1" si="5"/>
        <v/>
      </c>
    </row>
    <row r="32" spans="1:16" s="49" customFormat="1" ht="20.25" customHeight="1" x14ac:dyDescent="0.2">
      <c r="A32" s="48"/>
      <c r="B32" s="47">
        <f t="shared" ca="1" si="11"/>
        <v>47023</v>
      </c>
      <c r="C32" s="47">
        <f t="shared" ca="1" si="3"/>
        <v>46322</v>
      </c>
      <c r="D32" s="48">
        <f t="shared" si="0"/>
        <v>9</v>
      </c>
      <c r="E32" s="48">
        <f t="shared" si="1"/>
        <v>2028</v>
      </c>
      <c r="F32" s="24">
        <v>46997</v>
      </c>
      <c r="G32" s="28" t="e">
        <f t="shared" si="10"/>
        <v>#REF!</v>
      </c>
      <c r="H32" s="28" t="str">
        <f ca="1">IF(B32&gt;C32,"",SUMIFS(#REF!,#REF!,D32,#REF!,E32,#REF!,"SIM")-SUMIFS(#REF!,#REF!,D32,#REF!,E32,#REF!,"SIM",#REF!,"EXTERIOR"))</f>
        <v/>
      </c>
      <c r="I32" s="28" t="e">
        <f t="shared" si="4"/>
        <v>#REF!</v>
      </c>
      <c r="J32" s="28" t="str">
        <f ca="1">IF(B32&gt;C32,"",IF(B32&gt;C32,0,SUMIFS(#REF!,#REF!,"&lt;"&amp;DATE(E33,D33,1),#REF!,"sim",#REF!,"&lt;&gt;"&amp;"EXTERIOR")))</f>
        <v/>
      </c>
      <c r="K32" s="28" t="e">
        <f t="shared" si="9"/>
        <v>#REF!</v>
      </c>
      <c r="L32" s="28" t="str">
        <f ca="1">IF(B32&gt;C32,"",SUMIFS(#REF!,#REF!,D32,#REF!,E32,#REF!,"INVESTIMENTO",#REF!,"SIM"))</f>
        <v/>
      </c>
      <c r="M32" s="28" t="e">
        <f t="shared" ca="1" si="6"/>
        <v>#REF!</v>
      </c>
      <c r="N32" s="28" t="str">
        <f t="shared" ca="1" si="7"/>
        <v/>
      </c>
      <c r="O32" s="29" t="str">
        <f t="shared" ca="1" si="8"/>
        <v/>
      </c>
      <c r="P32" s="30" t="str">
        <f t="shared" ca="1" si="5"/>
        <v/>
      </c>
    </row>
    <row r="33" spans="1:16" s="49" customFormat="1" ht="20.25" customHeight="1" x14ac:dyDescent="0.2">
      <c r="A33" s="48"/>
      <c r="B33" s="47">
        <f t="shared" ca="1" si="11"/>
        <v>47053</v>
      </c>
      <c r="C33" s="47">
        <f t="shared" ca="1" si="3"/>
        <v>46322</v>
      </c>
      <c r="D33" s="48">
        <f t="shared" si="0"/>
        <v>10</v>
      </c>
      <c r="E33" s="48">
        <f t="shared" si="1"/>
        <v>2028</v>
      </c>
      <c r="F33" s="24">
        <v>47027</v>
      </c>
      <c r="G33" s="28" t="e">
        <f t="shared" si="10"/>
        <v>#REF!</v>
      </c>
      <c r="H33" s="28" t="str">
        <f ca="1">IF(B33&gt;C33,"",SUMIFS(#REF!,#REF!,D33,#REF!,E33,#REF!,"SIM")-SUMIFS(#REF!,#REF!,D33,#REF!,E33,#REF!,"SIM",#REF!,"EXTERIOR"))</f>
        <v/>
      </c>
      <c r="I33" s="28" t="e">
        <f t="shared" si="4"/>
        <v>#REF!</v>
      </c>
      <c r="J33" s="28" t="str">
        <f ca="1">IF(B33&gt;C33,"",IF(B33&gt;C33,0,SUMIFS(#REF!,#REF!,"&lt;"&amp;DATE(E34,D34,1),#REF!,"sim",#REF!,"&lt;&gt;"&amp;"EXTERIOR")))</f>
        <v/>
      </c>
      <c r="K33" s="28" t="e">
        <f t="shared" si="9"/>
        <v>#REF!</v>
      </c>
      <c r="L33" s="28" t="str">
        <f ca="1">IF(B33&gt;C33,"",SUMIFS(#REF!,#REF!,D33,#REF!,E33,#REF!,"INVESTIMENTO",#REF!,"SIM"))</f>
        <v/>
      </c>
      <c r="M33" s="28" t="e">
        <f t="shared" ca="1" si="6"/>
        <v>#REF!</v>
      </c>
      <c r="N33" s="28" t="str">
        <f t="shared" ca="1" si="7"/>
        <v/>
      </c>
      <c r="O33" s="29" t="str">
        <f t="shared" ca="1" si="8"/>
        <v/>
      </c>
      <c r="P33" s="30" t="str">
        <f t="shared" ca="1" si="5"/>
        <v/>
      </c>
    </row>
    <row r="34" spans="1:16" s="49" customFormat="1" ht="20.25" customHeight="1" x14ac:dyDescent="0.2">
      <c r="A34" s="48"/>
      <c r="B34" s="47">
        <f t="shared" ca="1" si="11"/>
        <v>47084</v>
      </c>
      <c r="C34" s="47">
        <f t="shared" ca="1" si="3"/>
        <v>46322</v>
      </c>
      <c r="D34" s="48">
        <f t="shared" si="0"/>
        <v>11</v>
      </c>
      <c r="E34" s="48">
        <f t="shared" si="1"/>
        <v>2028</v>
      </c>
      <c r="F34" s="24">
        <v>47058</v>
      </c>
      <c r="G34" s="28" t="e">
        <f t="shared" si="10"/>
        <v>#REF!</v>
      </c>
      <c r="H34" s="28" t="str">
        <f ca="1">IF(B34&gt;C34,"",SUMIFS(#REF!,#REF!,D34,#REF!,E34,#REF!,"SIM")-SUMIFS(#REF!,#REF!,D34,#REF!,E34,#REF!,"SIM",#REF!,"EXTERIOR"))</f>
        <v/>
      </c>
      <c r="I34" s="28" t="e">
        <f t="shared" si="4"/>
        <v>#REF!</v>
      </c>
      <c r="J34" s="28" t="str">
        <f ca="1">IF(B34&gt;C34,"",IF(B34&gt;C34,0,SUMIFS(#REF!,#REF!,"&lt;"&amp;DATE(E35,D35,1),#REF!,"sim",#REF!,"&lt;&gt;"&amp;"EXTERIOR")))</f>
        <v/>
      </c>
      <c r="K34" s="28" t="e">
        <f t="shared" si="9"/>
        <v>#REF!</v>
      </c>
      <c r="L34" s="28" t="str">
        <f ca="1">IF(B34&gt;C34,"",SUMIFS(#REF!,#REF!,D34,#REF!,E34,#REF!,"INVESTIMENTO",#REF!,"SIM"))</f>
        <v/>
      </c>
      <c r="M34" s="28" t="e">
        <f t="shared" ca="1" si="6"/>
        <v>#REF!</v>
      </c>
      <c r="N34" s="28" t="str">
        <f t="shared" ca="1" si="7"/>
        <v/>
      </c>
      <c r="O34" s="29" t="str">
        <f t="shared" ca="1" si="8"/>
        <v/>
      </c>
      <c r="P34" s="30" t="str">
        <f t="shared" ca="1" si="5"/>
        <v/>
      </c>
    </row>
    <row r="35" spans="1:16" s="49" customFormat="1" ht="20.25" customHeight="1" x14ac:dyDescent="0.2">
      <c r="A35" s="48"/>
      <c r="B35" s="47">
        <f t="shared" ca="1" si="11"/>
        <v>47114</v>
      </c>
      <c r="C35" s="47">
        <f t="shared" ca="1" si="3"/>
        <v>46322</v>
      </c>
      <c r="D35" s="48">
        <f t="shared" si="0"/>
        <v>12</v>
      </c>
      <c r="E35" s="48">
        <f t="shared" si="1"/>
        <v>2028</v>
      </c>
      <c r="F35" s="24">
        <v>47088</v>
      </c>
      <c r="G35" s="28" t="e">
        <f t="shared" si="10"/>
        <v>#REF!</v>
      </c>
      <c r="H35" s="28" t="str">
        <f ca="1">IF(B35&gt;C35,"",SUMIFS(#REF!,#REF!,D35,#REF!,E35,#REF!,"SIM")-SUMIFS(#REF!,#REF!,D35,#REF!,E35,#REF!,"SIM",#REF!,"EXTERIOR"))</f>
        <v/>
      </c>
      <c r="I35" s="28" t="e">
        <f t="shared" si="4"/>
        <v>#REF!</v>
      </c>
      <c r="J35" s="28" t="str">
        <f ca="1">IF(B35&gt;C35,"",IF(B35&gt;C35,0,SUMIFS(#REF!,#REF!,"&lt;"&amp;DATE(E36,D36,1),#REF!,"sim",#REF!,"&lt;&gt;"&amp;"EXTERIOR")))</f>
        <v/>
      </c>
      <c r="K35" s="28" t="e">
        <f t="shared" si="9"/>
        <v>#REF!</v>
      </c>
      <c r="L35" s="28" t="str">
        <f ca="1">IF(B35&gt;C35,"",SUMIFS(#REF!,#REF!,D35,#REF!,E35,#REF!,"INVESTIMENTO",#REF!,"SIM"))</f>
        <v/>
      </c>
      <c r="M35" s="28" t="e">
        <f t="shared" ca="1" si="6"/>
        <v>#REF!</v>
      </c>
      <c r="N35" s="28" t="str">
        <f t="shared" ca="1" si="7"/>
        <v/>
      </c>
      <c r="O35" s="29" t="str">
        <f t="shared" ca="1" si="8"/>
        <v/>
      </c>
      <c r="P35" s="30" t="str">
        <f t="shared" ca="1" si="5"/>
        <v/>
      </c>
    </row>
    <row r="36" spans="1:16" s="49" customFormat="1" ht="20.25" customHeight="1" x14ac:dyDescent="0.2">
      <c r="A36" s="48"/>
      <c r="B36" s="47">
        <f t="shared" ca="1" si="11"/>
        <v>47145</v>
      </c>
      <c r="C36" s="47">
        <f t="shared" ca="1" si="3"/>
        <v>46322</v>
      </c>
      <c r="D36" s="48">
        <f t="shared" si="0"/>
        <v>1</v>
      </c>
      <c r="E36" s="48">
        <f t="shared" si="1"/>
        <v>2029</v>
      </c>
      <c r="F36" s="24">
        <v>47119</v>
      </c>
      <c r="G36" s="28" t="e">
        <f t="shared" si="10"/>
        <v>#REF!</v>
      </c>
      <c r="H36" s="28" t="str">
        <f ca="1">IF(B36&gt;C36,"",SUMIFS(#REF!,#REF!,D36,#REF!,E36,#REF!,"SIM")-SUMIFS(#REF!,#REF!,D36,#REF!,E36,#REF!,"SIM",#REF!,"EXTERIOR"))</f>
        <v/>
      </c>
      <c r="I36" s="28" t="e">
        <f t="shared" si="4"/>
        <v>#REF!</v>
      </c>
      <c r="J36" s="28" t="str">
        <f ca="1">IF(B36&gt;C36,"",IF(B36&gt;C36,0,SUMIFS(#REF!,#REF!,"&lt;"&amp;DATE(E37,D37,1),#REF!,"sim",#REF!,"&lt;&gt;"&amp;"EXTERIOR")))</f>
        <v/>
      </c>
      <c r="K36" s="28" t="e">
        <f t="shared" si="9"/>
        <v>#REF!</v>
      </c>
      <c r="L36" s="28" t="str">
        <f ca="1">IF(B36&gt;C36,"",SUMIFS(#REF!,#REF!,D36,#REF!,E36,#REF!,"INVESTIMENTO",#REF!,"SIM"))</f>
        <v/>
      </c>
      <c r="M36" s="28" t="e">
        <f t="shared" ca="1" si="6"/>
        <v>#REF!</v>
      </c>
      <c r="N36" s="28" t="str">
        <f t="shared" ca="1" si="7"/>
        <v/>
      </c>
      <c r="O36" s="29" t="str">
        <f t="shared" ca="1" si="8"/>
        <v/>
      </c>
      <c r="P36" s="30" t="str">
        <f t="shared" ca="1" si="5"/>
        <v/>
      </c>
    </row>
    <row r="37" spans="1:16" s="49" customFormat="1" ht="20.25" customHeight="1" x14ac:dyDescent="0.2">
      <c r="A37" s="48"/>
      <c r="B37" s="47">
        <f t="shared" ca="1" si="11"/>
        <v>47176</v>
      </c>
      <c r="C37" s="47">
        <f t="shared" ca="1" si="3"/>
        <v>46322</v>
      </c>
      <c r="D37" s="48">
        <f t="shared" si="0"/>
        <v>2</v>
      </c>
      <c r="E37" s="48">
        <f t="shared" si="1"/>
        <v>2029</v>
      </c>
      <c r="F37" s="24">
        <v>47150</v>
      </c>
      <c r="G37" s="28" t="e">
        <f t="shared" si="10"/>
        <v>#REF!</v>
      </c>
      <c r="H37" s="28" t="str">
        <f ca="1">IF(B37&gt;C37,"",SUMIFS(#REF!,#REF!,D37,#REF!,E37,#REF!,"SIM")-SUMIFS(#REF!,#REF!,D37,#REF!,E37,#REF!,"SIM",#REF!,"EXTERIOR"))</f>
        <v/>
      </c>
      <c r="I37" s="28" t="e">
        <f t="shared" si="4"/>
        <v>#REF!</v>
      </c>
      <c r="J37" s="28" t="str">
        <f ca="1">IF(B37&gt;C37,"",IF(B37&gt;C37,0,SUMIFS(#REF!,#REF!,"&lt;"&amp;DATE(E38,D38,1),#REF!,"sim",#REF!,"&lt;&gt;"&amp;"EXTERIOR")))</f>
        <v/>
      </c>
      <c r="K37" s="28" t="e">
        <f t="shared" si="9"/>
        <v>#REF!</v>
      </c>
      <c r="L37" s="28" t="str">
        <f ca="1">IF(B37&gt;C37,"",SUMIFS(#REF!,#REF!,D37,#REF!,E37,#REF!,"INVESTIMENTO",#REF!,"SIM"))</f>
        <v/>
      </c>
      <c r="M37" s="28" t="e">
        <f t="shared" ca="1" si="6"/>
        <v>#REF!</v>
      </c>
      <c r="N37" s="28" t="str">
        <f t="shared" ca="1" si="7"/>
        <v/>
      </c>
      <c r="O37" s="29" t="str">
        <f t="shared" ca="1" si="8"/>
        <v/>
      </c>
      <c r="P37" s="30" t="str">
        <f t="shared" ca="1" si="5"/>
        <v/>
      </c>
    </row>
    <row r="38" spans="1:16" s="49" customFormat="1" ht="20.25" customHeight="1" x14ac:dyDescent="0.2">
      <c r="A38" s="48"/>
      <c r="B38" s="47">
        <f t="shared" ca="1" si="11"/>
        <v>47204</v>
      </c>
      <c r="C38" s="47">
        <f t="shared" ca="1" si="3"/>
        <v>46322</v>
      </c>
      <c r="D38" s="48">
        <f t="shared" si="0"/>
        <v>3</v>
      </c>
      <c r="E38" s="48">
        <f t="shared" si="1"/>
        <v>2029</v>
      </c>
      <c r="F38" s="24">
        <v>47178</v>
      </c>
      <c r="G38" s="28" t="e">
        <f t="shared" si="10"/>
        <v>#REF!</v>
      </c>
      <c r="H38" s="28" t="str">
        <f ca="1">IF(B38&gt;C38,"",SUMIFS(#REF!,#REF!,D38,#REF!,E38,#REF!,"SIM")-SUMIFS(#REF!,#REF!,D38,#REF!,E38,#REF!,"SIM",#REF!,"EXTERIOR"))</f>
        <v/>
      </c>
      <c r="I38" s="28" t="e">
        <f t="shared" si="4"/>
        <v>#REF!</v>
      </c>
      <c r="J38" s="28" t="str">
        <f ca="1">IF(B38&gt;C38,"",IF(B38&gt;C38,0,SUMIFS(#REF!,#REF!,"&lt;"&amp;DATE(E39,D39,1),#REF!,"sim",#REF!,"&lt;&gt;"&amp;"EXTERIOR")))</f>
        <v/>
      </c>
      <c r="K38" s="28" t="e">
        <f t="shared" si="9"/>
        <v>#REF!</v>
      </c>
      <c r="L38" s="28" t="str">
        <f ca="1">IF(B38&gt;C38,"",SUMIFS(#REF!,#REF!,D38,#REF!,E38,#REF!,"INVESTIMENTO",#REF!,"SIM"))</f>
        <v/>
      </c>
      <c r="M38" s="28" t="e">
        <f t="shared" ca="1" si="6"/>
        <v>#REF!</v>
      </c>
      <c r="N38" s="28" t="str">
        <f t="shared" ca="1" si="7"/>
        <v/>
      </c>
      <c r="O38" s="29" t="str">
        <f t="shared" ca="1" si="8"/>
        <v/>
      </c>
      <c r="P38" s="30" t="str">
        <f t="shared" ca="1" si="5"/>
        <v/>
      </c>
    </row>
    <row r="39" spans="1:16" s="49" customFormat="1" ht="20.25" customHeight="1" x14ac:dyDescent="0.2">
      <c r="A39" s="48"/>
      <c r="B39" s="47">
        <f t="shared" ca="1" si="11"/>
        <v>47235</v>
      </c>
      <c r="C39" s="47">
        <f t="shared" ca="1" si="3"/>
        <v>46322</v>
      </c>
      <c r="D39" s="48">
        <f t="shared" si="0"/>
        <v>4</v>
      </c>
      <c r="E39" s="48">
        <f t="shared" si="1"/>
        <v>2029</v>
      </c>
      <c r="F39" s="24">
        <v>47209</v>
      </c>
      <c r="G39" s="28" t="e">
        <f t="shared" si="10"/>
        <v>#REF!</v>
      </c>
      <c r="H39" s="28" t="str">
        <f ca="1">IF(B39&gt;C39,"",SUMIFS(#REF!,#REF!,D39,#REF!,E39,#REF!,"SIM")-SUMIFS(#REF!,#REF!,D39,#REF!,E39,#REF!,"SIM",#REF!,"EXTERIOR"))</f>
        <v/>
      </c>
      <c r="I39" s="28" t="e">
        <f t="shared" si="4"/>
        <v>#REF!</v>
      </c>
      <c r="J39" s="28" t="str">
        <f ca="1">IF(B39&gt;C39,"",IF(B39&gt;C39,0,SUMIFS(#REF!,#REF!,"&lt;"&amp;DATE(E40,D40,1),#REF!,"sim",#REF!,"&lt;&gt;"&amp;"EXTERIOR")))</f>
        <v/>
      </c>
      <c r="K39" s="28" t="e">
        <f t="shared" si="9"/>
        <v>#REF!</v>
      </c>
      <c r="L39" s="28" t="str">
        <f ca="1">IF(B39&gt;C39,"",SUMIFS(#REF!,#REF!,D39,#REF!,E39,#REF!,"INVESTIMENTO",#REF!,"SIM"))</f>
        <v/>
      </c>
      <c r="M39" s="28" t="e">
        <f t="shared" ca="1" si="6"/>
        <v>#REF!</v>
      </c>
      <c r="N39" s="28" t="str">
        <f t="shared" ca="1" si="7"/>
        <v/>
      </c>
      <c r="O39" s="29" t="str">
        <f t="shared" ca="1" si="8"/>
        <v/>
      </c>
      <c r="P39" s="30" t="str">
        <f t="shared" ca="1" si="5"/>
        <v/>
      </c>
    </row>
    <row r="40" spans="1:16" s="49" customFormat="1" ht="20.25" customHeight="1" x14ac:dyDescent="0.2">
      <c r="A40" s="48"/>
      <c r="B40" s="47">
        <f t="shared" ca="1" si="11"/>
        <v>47265</v>
      </c>
      <c r="C40" s="47">
        <f t="shared" ca="1" si="3"/>
        <v>46322</v>
      </c>
      <c r="D40" s="48">
        <f t="shared" si="0"/>
        <v>5</v>
      </c>
      <c r="E40" s="48">
        <f t="shared" si="1"/>
        <v>2029</v>
      </c>
      <c r="F40" s="24">
        <v>47239</v>
      </c>
      <c r="G40" s="28" t="e">
        <f t="shared" si="10"/>
        <v>#REF!</v>
      </c>
      <c r="H40" s="28" t="str">
        <f ca="1">IF(B40&gt;C40,"",SUMIFS(#REF!,#REF!,D40,#REF!,E40,#REF!,"SIM")-SUMIFS(#REF!,#REF!,D40,#REF!,E40,#REF!,"SIM",#REF!,"EXTERIOR"))</f>
        <v/>
      </c>
      <c r="I40" s="28" t="e">
        <f t="shared" si="4"/>
        <v>#REF!</v>
      </c>
      <c r="J40" s="28" t="str">
        <f ca="1">IF(B40&gt;C40,"",IF(B40&gt;C40,0,SUMIFS(#REF!,#REF!,"&lt;"&amp;DATE(E41,D41,1),#REF!,"sim",#REF!,"&lt;&gt;"&amp;"EXTERIOR")))</f>
        <v/>
      </c>
      <c r="K40" s="28" t="e">
        <f t="shared" si="9"/>
        <v>#REF!</v>
      </c>
      <c r="L40" s="28" t="str">
        <f ca="1">IF(B40&gt;C40,"",SUMIFS(#REF!,#REF!,D40,#REF!,E40,#REF!,"INVESTIMENTO",#REF!,"SIM"))</f>
        <v/>
      </c>
      <c r="M40" s="28" t="e">
        <f t="shared" ca="1" si="6"/>
        <v>#REF!</v>
      </c>
      <c r="N40" s="28" t="str">
        <f t="shared" ca="1" si="7"/>
        <v/>
      </c>
      <c r="O40" s="29" t="str">
        <f t="shared" ca="1" si="8"/>
        <v/>
      </c>
      <c r="P40" s="30" t="str">
        <f t="shared" ca="1" si="5"/>
        <v/>
      </c>
    </row>
    <row r="41" spans="1:16" s="49" customFormat="1" ht="20.25" customHeight="1" x14ac:dyDescent="0.2">
      <c r="A41" s="48"/>
      <c r="B41" s="47">
        <f t="shared" ca="1" si="11"/>
        <v>47296</v>
      </c>
      <c r="C41" s="47">
        <f t="shared" ca="1" si="3"/>
        <v>46322</v>
      </c>
      <c r="D41" s="48">
        <f t="shared" ref="D41:D72" si="12">MONTH(F41)</f>
        <v>6</v>
      </c>
      <c r="E41" s="48">
        <f t="shared" si="1"/>
        <v>2029</v>
      </c>
      <c r="F41" s="24">
        <v>47270</v>
      </c>
      <c r="G41" s="28" t="e">
        <f t="shared" si="10"/>
        <v>#REF!</v>
      </c>
      <c r="H41" s="28" t="str">
        <f ca="1">IF(B41&gt;C41,"",SUMIFS(#REF!,#REF!,D41,#REF!,E41,#REF!,"SIM")-SUMIFS(#REF!,#REF!,D41,#REF!,E41,#REF!,"SIM",#REF!,"EXTERIOR"))</f>
        <v/>
      </c>
      <c r="I41" s="28" t="e">
        <f t="shared" si="4"/>
        <v>#REF!</v>
      </c>
      <c r="J41" s="28" t="str">
        <f ca="1">IF(B41&gt;C41,"",IF(B41&gt;C41,0,SUMIFS(#REF!,#REF!,"&lt;"&amp;DATE(E42,D42,1),#REF!,"sim",#REF!,"&lt;&gt;"&amp;"EXTERIOR")))</f>
        <v/>
      </c>
      <c r="K41" s="28" t="e">
        <f t="shared" si="9"/>
        <v>#REF!</v>
      </c>
      <c r="L41" s="28" t="str">
        <f ca="1">IF(B41&gt;C41,"",SUMIFS(#REF!,#REF!,D41,#REF!,E41,#REF!,"INVESTIMENTO",#REF!,"SIM"))</f>
        <v/>
      </c>
      <c r="M41" s="28" t="e">
        <f t="shared" ca="1" si="6"/>
        <v>#REF!</v>
      </c>
      <c r="N41" s="28" t="str">
        <f t="shared" ca="1" si="7"/>
        <v/>
      </c>
      <c r="O41" s="29" t="str">
        <f t="shared" ca="1" si="8"/>
        <v/>
      </c>
      <c r="P41" s="30" t="str">
        <f t="shared" ca="1" si="5"/>
        <v/>
      </c>
    </row>
    <row r="42" spans="1:16" s="49" customFormat="1" ht="20.25" customHeight="1" x14ac:dyDescent="0.2">
      <c r="A42" s="48"/>
      <c r="B42" s="47">
        <f t="shared" ca="1" si="11"/>
        <v>47326</v>
      </c>
      <c r="C42" s="47">
        <f t="shared" ca="1" si="3"/>
        <v>46322</v>
      </c>
      <c r="D42" s="48">
        <f t="shared" si="12"/>
        <v>7</v>
      </c>
      <c r="E42" s="48">
        <f t="shared" si="1"/>
        <v>2029</v>
      </c>
      <c r="F42" s="24">
        <v>47300</v>
      </c>
      <c r="G42" s="28" t="e">
        <f t="shared" si="10"/>
        <v>#REF!</v>
      </c>
      <c r="H42" s="28" t="str">
        <f ca="1">IF(B42&gt;C42,"",SUMIFS(#REF!,#REF!,D42,#REF!,E42,#REF!,"SIM")-SUMIFS(#REF!,#REF!,D42,#REF!,E42,#REF!,"SIM",#REF!,"EXTERIOR"))</f>
        <v/>
      </c>
      <c r="I42" s="28" t="e">
        <f t="shared" ref="I42:I73" si="13">G42+I41</f>
        <v>#REF!</v>
      </c>
      <c r="J42" s="28" t="str">
        <f ca="1">IF(B42&gt;C42,"",IF(B42&gt;C42,0,SUMIFS(#REF!,#REF!,"&lt;"&amp;DATE(E43,D43,1),#REF!,"sim",#REF!,"&lt;&gt;"&amp;"EXTERIOR")))</f>
        <v/>
      </c>
      <c r="K42" s="28" t="e">
        <f t="shared" si="9"/>
        <v>#REF!</v>
      </c>
      <c r="L42" s="28" t="str">
        <f ca="1">IF(B42&gt;C42,"",SUMIFS(#REF!,#REF!,D42,#REF!,E42,#REF!,"INVESTIMENTO",#REF!,"SIM"))</f>
        <v/>
      </c>
      <c r="M42" s="28" t="e">
        <f t="shared" ca="1" si="6"/>
        <v>#REF!</v>
      </c>
      <c r="N42" s="28" t="str">
        <f t="shared" ca="1" si="7"/>
        <v/>
      </c>
      <c r="O42" s="29" t="str">
        <f t="shared" ca="1" si="8"/>
        <v/>
      </c>
      <c r="P42" s="30" t="str">
        <f t="shared" ca="1" si="5"/>
        <v/>
      </c>
    </row>
    <row r="43" spans="1:16" s="49" customFormat="1" ht="20.25" customHeight="1" x14ac:dyDescent="0.2">
      <c r="A43" s="48"/>
      <c r="B43" s="47">
        <f t="shared" ca="1" si="11"/>
        <v>47357</v>
      </c>
      <c r="C43" s="47">
        <f t="shared" ca="1" si="3"/>
        <v>46322</v>
      </c>
      <c r="D43" s="48">
        <f t="shared" si="12"/>
        <v>8</v>
      </c>
      <c r="E43" s="48">
        <f t="shared" si="1"/>
        <v>2029</v>
      </c>
      <c r="F43" s="24">
        <v>47331</v>
      </c>
      <c r="G43" s="28" t="e">
        <f t="shared" si="10"/>
        <v>#REF!</v>
      </c>
      <c r="H43" s="28" t="str">
        <f ca="1">IF(B43&gt;C43,"",SUMIFS(#REF!,#REF!,D43,#REF!,E43,#REF!,"SIM")-SUMIFS(#REF!,#REF!,D43,#REF!,E43,#REF!,"SIM",#REF!,"EXTERIOR"))</f>
        <v/>
      </c>
      <c r="I43" s="28" t="e">
        <f t="shared" si="13"/>
        <v>#REF!</v>
      </c>
      <c r="J43" s="28" t="str">
        <f ca="1">IF(B43&gt;C43,"",IF(B43&gt;C43,0,SUMIFS(#REF!,#REF!,"&lt;"&amp;DATE(E44,D44,1),#REF!,"sim",#REF!,"&lt;&gt;"&amp;"EXTERIOR")))</f>
        <v/>
      </c>
      <c r="K43" s="28" t="e">
        <f t="shared" si="9"/>
        <v>#REF!</v>
      </c>
      <c r="L43" s="28" t="str">
        <f ca="1">IF(B43&gt;C43,"",SUMIFS(#REF!,#REF!,D43,#REF!,E43,#REF!,"INVESTIMENTO",#REF!,"SIM"))</f>
        <v/>
      </c>
      <c r="M43" s="28" t="e">
        <f t="shared" ca="1" si="6"/>
        <v>#REF!</v>
      </c>
      <c r="N43" s="28" t="str">
        <f t="shared" ca="1" si="7"/>
        <v/>
      </c>
      <c r="O43" s="29" t="str">
        <f t="shared" ca="1" si="8"/>
        <v/>
      </c>
      <c r="P43" s="30" t="str">
        <f t="shared" ca="1" si="5"/>
        <v/>
      </c>
    </row>
    <row r="44" spans="1:16" s="49" customFormat="1" ht="20.25" customHeight="1" x14ac:dyDescent="0.2">
      <c r="A44" s="48"/>
      <c r="B44" s="47">
        <f t="shared" ca="1" si="11"/>
        <v>47388</v>
      </c>
      <c r="C44" s="47">
        <f t="shared" ca="1" si="3"/>
        <v>46322</v>
      </c>
      <c r="D44" s="48">
        <f t="shared" si="12"/>
        <v>9</v>
      </c>
      <c r="E44" s="48">
        <f t="shared" si="1"/>
        <v>2029</v>
      </c>
      <c r="F44" s="24">
        <v>47362</v>
      </c>
      <c r="G44" s="28" t="e">
        <f t="shared" si="10"/>
        <v>#REF!</v>
      </c>
      <c r="H44" s="28" t="str">
        <f ca="1">IF(B44&gt;C44,"",SUMIFS(#REF!,#REF!,D44,#REF!,E44,#REF!,"SIM")-SUMIFS(#REF!,#REF!,D44,#REF!,E44,#REF!,"SIM",#REF!,"EXTERIOR"))</f>
        <v/>
      </c>
      <c r="I44" s="28" t="e">
        <f t="shared" si="13"/>
        <v>#REF!</v>
      </c>
      <c r="J44" s="28" t="str">
        <f ca="1">IF(B44&gt;C44,"",IF(B44&gt;C44,0,SUMIFS(#REF!,#REF!,"&lt;"&amp;DATE(E45,D45,1),#REF!,"sim",#REF!,"&lt;&gt;"&amp;"EXTERIOR")))</f>
        <v/>
      </c>
      <c r="K44" s="28" t="e">
        <f t="shared" si="9"/>
        <v>#REF!</v>
      </c>
      <c r="L44" s="28" t="str">
        <f ca="1">IF(B44&gt;C44,"",SUMIFS(#REF!,#REF!,D44,#REF!,E44,#REF!,"INVESTIMENTO",#REF!,"SIM"))</f>
        <v/>
      </c>
      <c r="M44" s="28" t="e">
        <f t="shared" ca="1" si="6"/>
        <v>#REF!</v>
      </c>
      <c r="N44" s="28" t="str">
        <f t="shared" ca="1" si="7"/>
        <v/>
      </c>
      <c r="O44" s="29" t="str">
        <f t="shared" ca="1" si="8"/>
        <v/>
      </c>
      <c r="P44" s="30" t="str">
        <f t="shared" ca="1" si="5"/>
        <v/>
      </c>
    </row>
    <row r="45" spans="1:16" s="49" customFormat="1" ht="20.25" customHeight="1" x14ac:dyDescent="0.2">
      <c r="A45" s="48"/>
      <c r="B45" s="47">
        <f t="shared" ca="1" si="11"/>
        <v>47418</v>
      </c>
      <c r="C45" s="47">
        <f t="shared" ca="1" si="3"/>
        <v>46322</v>
      </c>
      <c r="D45" s="48">
        <f t="shared" si="12"/>
        <v>10</v>
      </c>
      <c r="E45" s="48">
        <f t="shared" si="1"/>
        <v>2029</v>
      </c>
      <c r="F45" s="24">
        <v>47392</v>
      </c>
      <c r="G45" s="28" t="e">
        <f t="shared" si="10"/>
        <v>#REF!</v>
      </c>
      <c r="H45" s="28" t="str">
        <f ca="1">IF(B45&gt;C45,"",SUMIFS(#REF!,#REF!,D45,#REF!,E45,#REF!,"SIM")-SUMIFS(#REF!,#REF!,D45,#REF!,E45,#REF!,"SIM",#REF!,"EXTERIOR"))</f>
        <v/>
      </c>
      <c r="I45" s="28" t="e">
        <f t="shared" si="13"/>
        <v>#REF!</v>
      </c>
      <c r="J45" s="28" t="str">
        <f ca="1">IF(B45&gt;C45,"",IF(B45&gt;C45,0,SUMIFS(#REF!,#REF!,"&lt;"&amp;DATE(E46,D46,1),#REF!,"sim",#REF!,"&lt;&gt;"&amp;"EXTERIOR")))</f>
        <v/>
      </c>
      <c r="K45" s="28" t="e">
        <f t="shared" ref="K45:K76" si="14">I44*$M$3</f>
        <v>#REF!</v>
      </c>
      <c r="L45" s="28" t="str">
        <f ca="1">IF(B45&gt;C45,"",SUMIFS(#REF!,#REF!,D45,#REF!,E45,#REF!,"INVESTIMENTO",#REF!,"SIM"))</f>
        <v/>
      </c>
      <c r="M45" s="28" t="e">
        <f t="shared" ca="1" si="6"/>
        <v>#REF!</v>
      </c>
      <c r="N45" s="28" t="str">
        <f t="shared" ca="1" si="7"/>
        <v/>
      </c>
      <c r="O45" s="29" t="str">
        <f t="shared" ca="1" si="8"/>
        <v/>
      </c>
      <c r="P45" s="30" t="str">
        <f t="shared" ca="1" si="5"/>
        <v/>
      </c>
    </row>
    <row r="46" spans="1:16" s="49" customFormat="1" ht="20.25" customHeight="1" x14ac:dyDescent="0.2">
      <c r="A46" s="48"/>
      <c r="B46" s="47">
        <f t="shared" ca="1" si="11"/>
        <v>47449</v>
      </c>
      <c r="C46" s="47">
        <f t="shared" ca="1" si="3"/>
        <v>46322</v>
      </c>
      <c r="D46" s="48">
        <f t="shared" si="12"/>
        <v>11</v>
      </c>
      <c r="E46" s="48">
        <f t="shared" si="1"/>
        <v>2029</v>
      </c>
      <c r="F46" s="24">
        <v>47423</v>
      </c>
      <c r="G46" s="28" t="e">
        <f t="shared" si="10"/>
        <v>#REF!</v>
      </c>
      <c r="H46" s="28" t="str">
        <f ca="1">IF(B46&gt;C46,"",SUMIFS(#REF!,#REF!,D46,#REF!,E46,#REF!,"SIM")-SUMIFS(#REF!,#REF!,D46,#REF!,E46,#REF!,"SIM",#REF!,"EXTERIOR"))</f>
        <v/>
      </c>
      <c r="I46" s="28" t="e">
        <f t="shared" si="13"/>
        <v>#REF!</v>
      </c>
      <c r="J46" s="28" t="str">
        <f ca="1">IF(B46&gt;C46,"",IF(B46&gt;C46,0,SUMIFS(#REF!,#REF!,"&lt;"&amp;DATE(E47,D47,1),#REF!,"sim",#REF!,"&lt;&gt;"&amp;"EXTERIOR")))</f>
        <v/>
      </c>
      <c r="K46" s="28" t="e">
        <f t="shared" si="14"/>
        <v>#REF!</v>
      </c>
      <c r="L46" s="28" t="str">
        <f ca="1">IF(B46&gt;C46,"",SUMIFS(#REF!,#REF!,D46,#REF!,E46,#REF!,"INVESTIMENTO",#REF!,"SIM"))</f>
        <v/>
      </c>
      <c r="M46" s="28" t="e">
        <f t="shared" ca="1" si="6"/>
        <v>#REF!</v>
      </c>
      <c r="N46" s="28" t="str">
        <f t="shared" ca="1" si="7"/>
        <v/>
      </c>
      <c r="O46" s="29" t="str">
        <f t="shared" ca="1" si="8"/>
        <v/>
      </c>
      <c r="P46" s="30" t="str">
        <f t="shared" ca="1" si="5"/>
        <v/>
      </c>
    </row>
    <row r="47" spans="1:16" s="49" customFormat="1" ht="20.25" customHeight="1" x14ac:dyDescent="0.2">
      <c r="A47" s="48"/>
      <c r="B47" s="47">
        <f t="shared" ca="1" si="11"/>
        <v>47479</v>
      </c>
      <c r="C47" s="47">
        <f t="shared" ca="1" si="3"/>
        <v>46322</v>
      </c>
      <c r="D47" s="48">
        <f t="shared" si="12"/>
        <v>12</v>
      </c>
      <c r="E47" s="48">
        <f t="shared" si="1"/>
        <v>2029</v>
      </c>
      <c r="F47" s="24">
        <v>47453</v>
      </c>
      <c r="G47" s="28" t="e">
        <f t="shared" si="10"/>
        <v>#REF!</v>
      </c>
      <c r="H47" s="28" t="str">
        <f ca="1">IF(B47&gt;C47,"",SUMIFS(#REF!,#REF!,D47,#REF!,E47,#REF!,"SIM")-SUMIFS(#REF!,#REF!,D47,#REF!,E47,#REF!,"SIM",#REF!,"EXTERIOR"))</f>
        <v/>
      </c>
      <c r="I47" s="28" t="e">
        <f t="shared" si="13"/>
        <v>#REF!</v>
      </c>
      <c r="J47" s="28" t="str">
        <f ca="1">IF(B47&gt;C47,"",IF(B47&gt;C47,0,SUMIFS(#REF!,#REF!,"&lt;"&amp;DATE(E48,D48,1),#REF!,"sim",#REF!,"&lt;&gt;"&amp;"EXTERIOR")))</f>
        <v/>
      </c>
      <c r="K47" s="28" t="e">
        <f t="shared" si="14"/>
        <v>#REF!</v>
      </c>
      <c r="L47" s="28" t="str">
        <f ca="1">IF(B47&gt;C47,"",SUMIFS(#REF!,#REF!,D47,#REF!,E47,#REF!,"INVESTIMENTO",#REF!,"SIM"))</f>
        <v/>
      </c>
      <c r="M47" s="28" t="e">
        <f t="shared" ca="1" si="6"/>
        <v>#REF!</v>
      </c>
      <c r="N47" s="28" t="str">
        <f t="shared" ca="1" si="7"/>
        <v/>
      </c>
      <c r="O47" s="29" t="str">
        <f t="shared" ca="1" si="8"/>
        <v/>
      </c>
      <c r="P47" s="30" t="str">
        <f t="shared" ca="1" si="5"/>
        <v/>
      </c>
    </row>
    <row r="48" spans="1:16" s="49" customFormat="1" ht="20.25" customHeight="1" x14ac:dyDescent="0.2">
      <c r="A48" s="48"/>
      <c r="B48" s="47">
        <f t="shared" ca="1" si="11"/>
        <v>47510</v>
      </c>
      <c r="C48" s="47">
        <f t="shared" ca="1" si="3"/>
        <v>46322</v>
      </c>
      <c r="D48" s="48">
        <f t="shared" si="12"/>
        <v>1</v>
      </c>
      <c r="E48" s="48">
        <f t="shared" si="1"/>
        <v>2030</v>
      </c>
      <c r="F48" s="24">
        <v>47484</v>
      </c>
      <c r="G48" s="28" t="e">
        <f t="shared" si="10"/>
        <v>#REF!</v>
      </c>
      <c r="H48" s="28" t="str">
        <f ca="1">IF(B48&gt;C48,"",SUMIFS(#REF!,#REF!,D48,#REF!,E48,#REF!,"SIM")-SUMIFS(#REF!,#REF!,D48,#REF!,E48,#REF!,"SIM",#REF!,"EXTERIOR"))</f>
        <v/>
      </c>
      <c r="I48" s="28" t="e">
        <f t="shared" si="13"/>
        <v>#REF!</v>
      </c>
      <c r="J48" s="28" t="str">
        <f ca="1">IF(B48&gt;C48,"",IF(B48&gt;C48,0,SUMIFS(#REF!,#REF!,"&lt;"&amp;DATE(E49,D49,1),#REF!,"sim",#REF!,"&lt;&gt;"&amp;"EXTERIOR")))</f>
        <v/>
      </c>
      <c r="K48" s="28" t="e">
        <f t="shared" si="14"/>
        <v>#REF!</v>
      </c>
      <c r="L48" s="28" t="str">
        <f ca="1">IF(B48&gt;C48,"",SUMIFS(#REF!,#REF!,D48,#REF!,E48,#REF!,"INVESTIMENTO",#REF!,"SIM"))</f>
        <v/>
      </c>
      <c r="M48" s="28" t="e">
        <f t="shared" ca="1" si="6"/>
        <v>#REF!</v>
      </c>
      <c r="N48" s="28" t="str">
        <f t="shared" ca="1" si="7"/>
        <v/>
      </c>
      <c r="O48" s="29" t="str">
        <f t="shared" ca="1" si="8"/>
        <v/>
      </c>
      <c r="P48" s="30" t="str">
        <f t="shared" ca="1" si="5"/>
        <v/>
      </c>
    </row>
    <row r="49" spans="1:16" s="49" customFormat="1" ht="20.25" customHeight="1" x14ac:dyDescent="0.2">
      <c r="A49" s="48"/>
      <c r="B49" s="47">
        <f t="shared" ca="1" si="11"/>
        <v>47541</v>
      </c>
      <c r="C49" s="47">
        <f t="shared" ca="1" si="3"/>
        <v>46322</v>
      </c>
      <c r="D49" s="48">
        <f t="shared" si="12"/>
        <v>2</v>
      </c>
      <c r="E49" s="48">
        <f t="shared" si="1"/>
        <v>2030</v>
      </c>
      <c r="F49" s="24">
        <v>47515</v>
      </c>
      <c r="G49" s="28" t="e">
        <f t="shared" si="10"/>
        <v>#REF!</v>
      </c>
      <c r="H49" s="28" t="str">
        <f ca="1">IF(B49&gt;C49,"",SUMIFS(#REF!,#REF!,D49,#REF!,E49,#REF!,"SIM")-SUMIFS(#REF!,#REF!,D49,#REF!,E49,#REF!,"SIM",#REF!,"EXTERIOR"))</f>
        <v/>
      </c>
      <c r="I49" s="28" t="e">
        <f t="shared" si="13"/>
        <v>#REF!</v>
      </c>
      <c r="J49" s="28" t="str">
        <f ca="1">IF(B49&gt;C49,"",IF(B49&gt;C49,0,SUMIFS(#REF!,#REF!,"&lt;"&amp;DATE(E50,D50,1),#REF!,"sim",#REF!,"&lt;&gt;"&amp;"EXTERIOR")))</f>
        <v/>
      </c>
      <c r="K49" s="28" t="e">
        <f t="shared" si="14"/>
        <v>#REF!</v>
      </c>
      <c r="L49" s="28" t="str">
        <f ca="1">IF(B49&gt;C49,"",SUMIFS(#REF!,#REF!,D49,#REF!,E49,#REF!,"INVESTIMENTO",#REF!,"SIM"))</f>
        <v/>
      </c>
      <c r="M49" s="28" t="e">
        <f t="shared" ca="1" si="6"/>
        <v>#REF!</v>
      </c>
      <c r="N49" s="28" t="str">
        <f t="shared" ca="1" si="7"/>
        <v/>
      </c>
      <c r="O49" s="29" t="str">
        <f t="shared" ca="1" si="8"/>
        <v/>
      </c>
      <c r="P49" s="30" t="str">
        <f t="shared" ca="1" si="5"/>
        <v/>
      </c>
    </row>
    <row r="50" spans="1:16" s="49" customFormat="1" ht="20.25" customHeight="1" x14ac:dyDescent="0.2">
      <c r="A50" s="48"/>
      <c r="B50" s="47">
        <f t="shared" ca="1" si="11"/>
        <v>47569</v>
      </c>
      <c r="C50" s="47">
        <f t="shared" ca="1" si="3"/>
        <v>46322</v>
      </c>
      <c r="D50" s="48">
        <f t="shared" si="12"/>
        <v>3</v>
      </c>
      <c r="E50" s="48">
        <f t="shared" si="1"/>
        <v>2030</v>
      </c>
      <c r="F50" s="24">
        <v>47543</v>
      </c>
      <c r="G50" s="28" t="e">
        <f t="shared" si="10"/>
        <v>#REF!</v>
      </c>
      <c r="H50" s="28" t="str">
        <f ca="1">IF(B50&gt;C50,"",SUMIFS(#REF!,#REF!,D50,#REF!,E50,#REF!,"SIM")-SUMIFS(#REF!,#REF!,D50,#REF!,E50,#REF!,"SIM",#REF!,"EXTERIOR"))</f>
        <v/>
      </c>
      <c r="I50" s="28" t="e">
        <f t="shared" si="13"/>
        <v>#REF!</v>
      </c>
      <c r="J50" s="28" t="str">
        <f ca="1">IF(B50&gt;C50,"",IF(B50&gt;C50,0,SUMIFS(#REF!,#REF!,"&lt;"&amp;DATE(E51,D51,1),#REF!,"sim",#REF!,"&lt;&gt;"&amp;"EXTERIOR")))</f>
        <v/>
      </c>
      <c r="K50" s="28" t="e">
        <f t="shared" si="14"/>
        <v>#REF!</v>
      </c>
      <c r="L50" s="28" t="str">
        <f ca="1">IF(B50&gt;C50,"",SUMIFS(#REF!,#REF!,D50,#REF!,E50,#REF!,"INVESTIMENTO",#REF!,"SIM"))</f>
        <v/>
      </c>
      <c r="M50" s="28" t="e">
        <f t="shared" ca="1" si="6"/>
        <v>#REF!</v>
      </c>
      <c r="N50" s="28" t="str">
        <f t="shared" ca="1" si="7"/>
        <v/>
      </c>
      <c r="O50" s="29" t="str">
        <f t="shared" ca="1" si="8"/>
        <v/>
      </c>
      <c r="P50" s="30" t="str">
        <f t="shared" ca="1" si="5"/>
        <v/>
      </c>
    </row>
    <row r="51" spans="1:16" s="49" customFormat="1" ht="20.25" customHeight="1" x14ac:dyDescent="0.2">
      <c r="A51" s="48"/>
      <c r="B51" s="47">
        <f t="shared" ca="1" si="11"/>
        <v>47600</v>
      </c>
      <c r="C51" s="47">
        <f t="shared" ca="1" si="3"/>
        <v>46322</v>
      </c>
      <c r="D51" s="48">
        <f t="shared" si="12"/>
        <v>4</v>
      </c>
      <c r="E51" s="48">
        <f t="shared" si="1"/>
        <v>2030</v>
      </c>
      <c r="F51" s="24">
        <v>47574</v>
      </c>
      <c r="G51" s="28" t="e">
        <f t="shared" si="10"/>
        <v>#REF!</v>
      </c>
      <c r="H51" s="28" t="str">
        <f ca="1">IF(B51&gt;C51,"",SUMIFS(#REF!,#REF!,D51,#REF!,E51,#REF!,"SIM")-SUMIFS(#REF!,#REF!,D51,#REF!,E51,#REF!,"SIM",#REF!,"EXTERIOR"))</f>
        <v/>
      </c>
      <c r="I51" s="28" t="e">
        <f t="shared" si="13"/>
        <v>#REF!</v>
      </c>
      <c r="J51" s="28" t="str">
        <f ca="1">IF(B51&gt;C51,"",IF(B51&gt;C51,0,SUMIFS(#REF!,#REF!,"&lt;"&amp;DATE(E52,D52,1),#REF!,"sim",#REF!,"&lt;&gt;"&amp;"EXTERIOR")))</f>
        <v/>
      </c>
      <c r="K51" s="28" t="e">
        <f t="shared" si="14"/>
        <v>#REF!</v>
      </c>
      <c r="L51" s="28" t="str">
        <f ca="1">IF(B51&gt;C51,"",SUMIFS(#REF!,#REF!,D51,#REF!,E51,#REF!,"INVESTIMENTO",#REF!,"SIM"))</f>
        <v/>
      </c>
      <c r="M51" s="28" t="e">
        <f t="shared" ca="1" si="6"/>
        <v>#REF!</v>
      </c>
      <c r="N51" s="28" t="str">
        <f t="shared" ca="1" si="7"/>
        <v/>
      </c>
      <c r="O51" s="29" t="str">
        <f t="shared" ca="1" si="8"/>
        <v/>
      </c>
      <c r="P51" s="30" t="str">
        <f t="shared" ca="1" si="5"/>
        <v/>
      </c>
    </row>
    <row r="52" spans="1:16" s="49" customFormat="1" ht="20.25" customHeight="1" x14ac:dyDescent="0.2">
      <c r="A52" s="48"/>
      <c r="B52" s="47">
        <f t="shared" ca="1" si="11"/>
        <v>47630</v>
      </c>
      <c r="C52" s="47">
        <f t="shared" ca="1" si="3"/>
        <v>46322</v>
      </c>
      <c r="D52" s="48">
        <f t="shared" si="12"/>
        <v>5</v>
      </c>
      <c r="E52" s="48">
        <f t="shared" si="1"/>
        <v>2030</v>
      </c>
      <c r="F52" s="24">
        <v>47604</v>
      </c>
      <c r="G52" s="28" t="e">
        <f t="shared" si="10"/>
        <v>#REF!</v>
      </c>
      <c r="H52" s="28" t="str">
        <f ca="1">IF(B52&gt;C52,"",SUMIFS(#REF!,#REF!,D52,#REF!,E52,#REF!,"SIM")-SUMIFS(#REF!,#REF!,D52,#REF!,E52,#REF!,"SIM",#REF!,"EXTERIOR"))</f>
        <v/>
      </c>
      <c r="I52" s="28" t="e">
        <f t="shared" si="13"/>
        <v>#REF!</v>
      </c>
      <c r="J52" s="28" t="str">
        <f ca="1">IF(B52&gt;C52,"",IF(B52&gt;C52,0,SUMIFS(#REF!,#REF!,"&lt;"&amp;DATE(E53,D53,1),#REF!,"sim",#REF!,"&lt;&gt;"&amp;"EXTERIOR")))</f>
        <v/>
      </c>
      <c r="K52" s="28" t="e">
        <f t="shared" si="14"/>
        <v>#REF!</v>
      </c>
      <c r="L52" s="28" t="str">
        <f ca="1">IF(B52&gt;C52,"",SUMIFS(#REF!,#REF!,D52,#REF!,E52,#REF!,"INVESTIMENTO",#REF!,"SIM"))</f>
        <v/>
      </c>
      <c r="M52" s="28" t="e">
        <f t="shared" ca="1" si="6"/>
        <v>#REF!</v>
      </c>
      <c r="N52" s="28" t="str">
        <f t="shared" ca="1" si="7"/>
        <v/>
      </c>
      <c r="O52" s="29" t="str">
        <f t="shared" ca="1" si="8"/>
        <v/>
      </c>
      <c r="P52" s="30" t="str">
        <f t="shared" ca="1" si="5"/>
        <v/>
      </c>
    </row>
    <row r="53" spans="1:16" s="49" customFormat="1" ht="20.25" customHeight="1" x14ac:dyDescent="0.2">
      <c r="A53" s="48"/>
      <c r="B53" s="47">
        <f t="shared" ca="1" si="11"/>
        <v>47661</v>
      </c>
      <c r="C53" s="47">
        <f t="shared" ca="1" si="3"/>
        <v>46322</v>
      </c>
      <c r="D53" s="48">
        <f t="shared" si="12"/>
        <v>6</v>
      </c>
      <c r="E53" s="48">
        <f t="shared" si="1"/>
        <v>2030</v>
      </c>
      <c r="F53" s="24">
        <v>47635</v>
      </c>
      <c r="G53" s="28" t="e">
        <f t="shared" si="10"/>
        <v>#REF!</v>
      </c>
      <c r="H53" s="28" t="str">
        <f ca="1">IF(B53&gt;C53,"",SUMIFS(#REF!,#REF!,D53,#REF!,E53,#REF!,"SIM")-SUMIFS(#REF!,#REF!,D53,#REF!,E53,#REF!,"SIM",#REF!,"EXTERIOR"))</f>
        <v/>
      </c>
      <c r="I53" s="28" t="e">
        <f t="shared" si="13"/>
        <v>#REF!</v>
      </c>
      <c r="J53" s="28" t="str">
        <f ca="1">IF(B53&gt;C53,"",IF(B53&gt;C53,0,SUMIFS(#REF!,#REF!,"&lt;"&amp;DATE(E54,D54,1),#REF!,"sim",#REF!,"&lt;&gt;"&amp;"EXTERIOR")))</f>
        <v/>
      </c>
      <c r="K53" s="28" t="e">
        <f t="shared" si="14"/>
        <v>#REF!</v>
      </c>
      <c r="L53" s="28" t="str">
        <f ca="1">IF(B53&gt;C53,"",SUMIFS(#REF!,#REF!,D53,#REF!,E53,#REF!,"INVESTIMENTO",#REF!,"SIM"))</f>
        <v/>
      </c>
      <c r="M53" s="28" t="e">
        <f t="shared" ca="1" si="6"/>
        <v>#REF!</v>
      </c>
      <c r="N53" s="28" t="str">
        <f t="shared" ca="1" si="7"/>
        <v/>
      </c>
      <c r="O53" s="29" t="str">
        <f t="shared" ca="1" si="8"/>
        <v/>
      </c>
      <c r="P53" s="30" t="str">
        <f t="shared" ca="1" si="5"/>
        <v/>
      </c>
    </row>
    <row r="54" spans="1:16" s="49" customFormat="1" ht="20.25" customHeight="1" x14ac:dyDescent="0.2">
      <c r="A54" s="48"/>
      <c r="B54" s="47">
        <f t="shared" ca="1" si="11"/>
        <v>47691</v>
      </c>
      <c r="C54" s="47">
        <f t="shared" ca="1" si="3"/>
        <v>46322</v>
      </c>
      <c r="D54" s="48">
        <f t="shared" si="12"/>
        <v>7</v>
      </c>
      <c r="E54" s="48">
        <f t="shared" si="1"/>
        <v>2030</v>
      </c>
      <c r="F54" s="24">
        <v>47665</v>
      </c>
      <c r="G54" s="28" t="e">
        <f t="shared" si="10"/>
        <v>#REF!</v>
      </c>
      <c r="H54" s="28" t="str">
        <f ca="1">IF(B54&gt;C54,"",SUMIFS(#REF!,#REF!,D54,#REF!,E54,#REF!,"SIM")-SUMIFS(#REF!,#REF!,D54,#REF!,E54,#REF!,"SIM",#REF!,"EXTERIOR"))</f>
        <v/>
      </c>
      <c r="I54" s="28" t="e">
        <f t="shared" si="13"/>
        <v>#REF!</v>
      </c>
      <c r="J54" s="28" t="str">
        <f ca="1">IF(B54&gt;C54,"",IF(B54&gt;C54,0,SUMIFS(#REF!,#REF!,"&lt;"&amp;DATE(E55,D55,1),#REF!,"sim",#REF!,"&lt;&gt;"&amp;"EXTERIOR")))</f>
        <v/>
      </c>
      <c r="K54" s="28" t="e">
        <f t="shared" si="14"/>
        <v>#REF!</v>
      </c>
      <c r="L54" s="28" t="str">
        <f ca="1">IF(B54&gt;C54,"",SUMIFS(#REF!,#REF!,D54,#REF!,E54,#REF!,"INVESTIMENTO",#REF!,"SIM"))</f>
        <v/>
      </c>
      <c r="M54" s="28" t="e">
        <f t="shared" ca="1" si="6"/>
        <v>#REF!</v>
      </c>
      <c r="N54" s="28" t="str">
        <f t="shared" ca="1" si="7"/>
        <v/>
      </c>
      <c r="O54" s="29" t="str">
        <f t="shared" ca="1" si="8"/>
        <v/>
      </c>
      <c r="P54" s="30" t="str">
        <f t="shared" ca="1" si="5"/>
        <v/>
      </c>
    </row>
    <row r="55" spans="1:16" s="49" customFormat="1" ht="20.25" customHeight="1" x14ac:dyDescent="0.2">
      <c r="A55" s="48"/>
      <c r="B55" s="47">
        <f t="shared" ca="1" si="11"/>
        <v>47722</v>
      </c>
      <c r="C55" s="47">
        <f t="shared" ca="1" si="3"/>
        <v>46322</v>
      </c>
      <c r="D55" s="48">
        <f t="shared" si="12"/>
        <v>8</v>
      </c>
      <c r="E55" s="48">
        <f t="shared" si="1"/>
        <v>2030</v>
      </c>
      <c r="F55" s="24">
        <v>47696</v>
      </c>
      <c r="G55" s="28" t="e">
        <f t="shared" si="10"/>
        <v>#REF!</v>
      </c>
      <c r="H55" s="28" t="str">
        <f ca="1">IF(B55&gt;C55,"",SUMIFS(#REF!,#REF!,D55,#REF!,E55,#REF!,"SIM")-SUMIFS(#REF!,#REF!,D55,#REF!,E55,#REF!,"SIM",#REF!,"EXTERIOR"))</f>
        <v/>
      </c>
      <c r="I55" s="28" t="e">
        <f t="shared" si="13"/>
        <v>#REF!</v>
      </c>
      <c r="J55" s="28" t="str">
        <f ca="1">IF(B55&gt;C55,"",IF(B55&gt;C55,0,SUMIFS(#REF!,#REF!,"&lt;"&amp;DATE(E56,D56,1),#REF!,"sim",#REF!,"&lt;&gt;"&amp;"EXTERIOR")))</f>
        <v/>
      </c>
      <c r="K55" s="28" t="e">
        <f t="shared" si="14"/>
        <v>#REF!</v>
      </c>
      <c r="L55" s="28" t="str">
        <f ca="1">IF(B55&gt;C55,"",SUMIFS(#REF!,#REF!,D55,#REF!,E55,#REF!,"INVESTIMENTO",#REF!,"SIM"))</f>
        <v/>
      </c>
      <c r="M55" s="28" t="e">
        <f t="shared" ca="1" si="6"/>
        <v>#REF!</v>
      </c>
      <c r="N55" s="28" t="str">
        <f t="shared" ca="1" si="7"/>
        <v/>
      </c>
      <c r="O55" s="29" t="str">
        <f t="shared" ca="1" si="8"/>
        <v/>
      </c>
      <c r="P55" s="30" t="str">
        <f t="shared" ca="1" si="5"/>
        <v/>
      </c>
    </row>
    <row r="56" spans="1:16" s="49" customFormat="1" ht="20.25" customHeight="1" x14ac:dyDescent="0.2">
      <c r="A56" s="48"/>
      <c r="B56" s="47">
        <f t="shared" ca="1" si="11"/>
        <v>47753</v>
      </c>
      <c r="C56" s="47">
        <f t="shared" ca="1" si="3"/>
        <v>46322</v>
      </c>
      <c r="D56" s="48">
        <f t="shared" si="12"/>
        <v>9</v>
      </c>
      <c r="E56" s="48">
        <f t="shared" si="1"/>
        <v>2030</v>
      </c>
      <c r="F56" s="24">
        <v>47727</v>
      </c>
      <c r="G56" s="28" t="e">
        <f t="shared" si="10"/>
        <v>#REF!</v>
      </c>
      <c r="H56" s="28" t="str">
        <f ca="1">IF(B56&gt;C56,"",SUMIFS(#REF!,#REF!,D56,#REF!,E56,#REF!,"SIM")-SUMIFS(#REF!,#REF!,D56,#REF!,E56,#REF!,"SIM",#REF!,"EXTERIOR"))</f>
        <v/>
      </c>
      <c r="I56" s="28" t="e">
        <f t="shared" si="13"/>
        <v>#REF!</v>
      </c>
      <c r="J56" s="28" t="str">
        <f ca="1">IF(B56&gt;C56,"",IF(B56&gt;C56,0,SUMIFS(#REF!,#REF!,"&lt;"&amp;DATE(E57,D57,1),#REF!,"sim",#REF!,"&lt;&gt;"&amp;"EXTERIOR")))</f>
        <v/>
      </c>
      <c r="K56" s="28" t="e">
        <f t="shared" si="14"/>
        <v>#REF!</v>
      </c>
      <c r="L56" s="28" t="str">
        <f ca="1">IF(B56&gt;C56,"",SUMIFS(#REF!,#REF!,D56,#REF!,E56,#REF!,"INVESTIMENTO",#REF!,"SIM"))</f>
        <v/>
      </c>
      <c r="M56" s="28" t="e">
        <f t="shared" ca="1" si="6"/>
        <v>#REF!</v>
      </c>
      <c r="N56" s="28" t="str">
        <f t="shared" ca="1" si="7"/>
        <v/>
      </c>
      <c r="O56" s="29" t="str">
        <f t="shared" ca="1" si="8"/>
        <v/>
      </c>
      <c r="P56" s="30" t="str">
        <f t="shared" ca="1" si="5"/>
        <v/>
      </c>
    </row>
    <row r="57" spans="1:16" s="49" customFormat="1" ht="20.25" customHeight="1" x14ac:dyDescent="0.2">
      <c r="A57" s="48"/>
      <c r="B57" s="47">
        <f t="shared" ca="1" si="11"/>
        <v>47783</v>
      </c>
      <c r="C57" s="47">
        <f t="shared" ca="1" si="3"/>
        <v>46322</v>
      </c>
      <c r="D57" s="48">
        <f t="shared" si="12"/>
        <v>10</v>
      </c>
      <c r="E57" s="48">
        <f t="shared" si="1"/>
        <v>2030</v>
      </c>
      <c r="F57" s="24">
        <v>47757</v>
      </c>
      <c r="G57" s="28" t="e">
        <f t="shared" si="10"/>
        <v>#REF!</v>
      </c>
      <c r="H57" s="28" t="str">
        <f ca="1">IF(B57&gt;C57,"",SUMIFS(#REF!,#REF!,D57,#REF!,E57,#REF!,"SIM")-SUMIFS(#REF!,#REF!,D57,#REF!,E57,#REF!,"SIM",#REF!,"EXTERIOR"))</f>
        <v/>
      </c>
      <c r="I57" s="28" t="e">
        <f t="shared" si="13"/>
        <v>#REF!</v>
      </c>
      <c r="J57" s="28" t="str">
        <f ca="1">IF(B57&gt;C57,"",IF(B57&gt;C57,0,SUMIFS(#REF!,#REF!,"&lt;"&amp;DATE(E58,D58,1),#REF!,"sim",#REF!,"&lt;&gt;"&amp;"EXTERIOR")))</f>
        <v/>
      </c>
      <c r="K57" s="28" t="e">
        <f t="shared" si="14"/>
        <v>#REF!</v>
      </c>
      <c r="L57" s="28" t="str">
        <f ca="1">IF(B57&gt;C57,"",SUMIFS(#REF!,#REF!,D57,#REF!,E57,#REF!,"INVESTIMENTO",#REF!,"SIM"))</f>
        <v/>
      </c>
      <c r="M57" s="28" t="e">
        <f t="shared" ca="1" si="6"/>
        <v>#REF!</v>
      </c>
      <c r="N57" s="28" t="str">
        <f t="shared" ca="1" si="7"/>
        <v/>
      </c>
      <c r="O57" s="29" t="str">
        <f t="shared" ca="1" si="8"/>
        <v/>
      </c>
      <c r="P57" s="30" t="str">
        <f t="shared" ca="1" si="5"/>
        <v/>
      </c>
    </row>
    <row r="58" spans="1:16" s="49" customFormat="1" ht="20.25" customHeight="1" x14ac:dyDescent="0.2">
      <c r="A58" s="48"/>
      <c r="B58" s="47">
        <f t="shared" ca="1" si="11"/>
        <v>47814</v>
      </c>
      <c r="C58" s="47">
        <f t="shared" ca="1" si="3"/>
        <v>46322</v>
      </c>
      <c r="D58" s="48">
        <f t="shared" si="12"/>
        <v>11</v>
      </c>
      <c r="E58" s="48">
        <f t="shared" si="1"/>
        <v>2030</v>
      </c>
      <c r="F58" s="24">
        <v>47788</v>
      </c>
      <c r="G58" s="28" t="e">
        <f t="shared" si="10"/>
        <v>#REF!</v>
      </c>
      <c r="H58" s="28" t="str">
        <f ca="1">IF(B58&gt;C58,"",SUMIFS(#REF!,#REF!,D58,#REF!,E58,#REF!,"SIM")-SUMIFS(#REF!,#REF!,D58,#REF!,E58,#REF!,"SIM",#REF!,"EXTERIOR"))</f>
        <v/>
      </c>
      <c r="I58" s="28" t="e">
        <f t="shared" si="13"/>
        <v>#REF!</v>
      </c>
      <c r="J58" s="28" t="str">
        <f ca="1">IF(B58&gt;C58,"",IF(B58&gt;C58,0,SUMIFS(#REF!,#REF!,"&lt;"&amp;DATE(E59,D59,1),#REF!,"sim",#REF!,"&lt;&gt;"&amp;"EXTERIOR")))</f>
        <v/>
      </c>
      <c r="K58" s="28" t="e">
        <f t="shared" si="14"/>
        <v>#REF!</v>
      </c>
      <c r="L58" s="28" t="str">
        <f ca="1">IF(B58&gt;C58,"",SUMIFS(#REF!,#REF!,D58,#REF!,E58,#REF!,"INVESTIMENTO",#REF!,"SIM"))</f>
        <v/>
      </c>
      <c r="M58" s="28" t="e">
        <f t="shared" ca="1" si="6"/>
        <v>#REF!</v>
      </c>
      <c r="N58" s="28" t="str">
        <f t="shared" ca="1" si="7"/>
        <v/>
      </c>
      <c r="O58" s="29" t="str">
        <f t="shared" ca="1" si="8"/>
        <v/>
      </c>
      <c r="P58" s="30" t="str">
        <f t="shared" ca="1" si="5"/>
        <v/>
      </c>
    </row>
    <row r="59" spans="1:16" s="49" customFormat="1" ht="20.25" customHeight="1" x14ac:dyDescent="0.2">
      <c r="A59" s="48"/>
      <c r="B59" s="47">
        <f t="shared" ca="1" si="11"/>
        <v>47844</v>
      </c>
      <c r="C59" s="47">
        <f t="shared" ca="1" si="3"/>
        <v>46322</v>
      </c>
      <c r="D59" s="48">
        <f t="shared" si="12"/>
        <v>12</v>
      </c>
      <c r="E59" s="48">
        <f t="shared" si="1"/>
        <v>2030</v>
      </c>
      <c r="F59" s="24">
        <v>47818</v>
      </c>
      <c r="G59" s="28" t="e">
        <f t="shared" si="10"/>
        <v>#REF!</v>
      </c>
      <c r="H59" s="28" t="str">
        <f ca="1">IF(B59&gt;C59,"",SUMIFS(#REF!,#REF!,D59,#REF!,E59,#REF!,"SIM")-SUMIFS(#REF!,#REF!,D59,#REF!,E59,#REF!,"SIM",#REF!,"EXTERIOR"))</f>
        <v/>
      </c>
      <c r="I59" s="28" t="e">
        <f t="shared" si="13"/>
        <v>#REF!</v>
      </c>
      <c r="J59" s="28" t="str">
        <f ca="1">IF(B59&gt;C59,"",IF(B59&gt;C59,0,SUMIFS(#REF!,#REF!,"&lt;"&amp;DATE(E60,D60,1),#REF!,"sim",#REF!,"&lt;&gt;"&amp;"EXTERIOR")))</f>
        <v/>
      </c>
      <c r="K59" s="28" t="e">
        <f t="shared" si="14"/>
        <v>#REF!</v>
      </c>
      <c r="L59" s="28" t="str">
        <f ca="1">IF(B59&gt;C59,"",SUMIFS(#REF!,#REF!,D59,#REF!,E59,#REF!,"INVESTIMENTO",#REF!,"SIM"))</f>
        <v/>
      </c>
      <c r="M59" s="28" t="e">
        <f t="shared" ca="1" si="6"/>
        <v>#REF!</v>
      </c>
      <c r="N59" s="28" t="str">
        <f t="shared" ca="1" si="7"/>
        <v/>
      </c>
      <c r="O59" s="29" t="str">
        <f t="shared" ca="1" si="8"/>
        <v/>
      </c>
      <c r="P59" s="30" t="str">
        <f t="shared" ca="1" si="5"/>
        <v/>
      </c>
    </row>
    <row r="60" spans="1:16" s="49" customFormat="1" ht="20.25" customHeight="1" x14ac:dyDescent="0.2">
      <c r="A60" s="48"/>
      <c r="B60" s="47">
        <f t="shared" ca="1" si="11"/>
        <v>47875</v>
      </c>
      <c r="C60" s="47">
        <f t="shared" ca="1" si="3"/>
        <v>46322</v>
      </c>
      <c r="D60" s="48">
        <f t="shared" si="12"/>
        <v>1</v>
      </c>
      <c r="E60" s="48">
        <f t="shared" si="1"/>
        <v>2031</v>
      </c>
      <c r="F60" s="24">
        <v>47849</v>
      </c>
      <c r="G60" s="28" t="e">
        <f t="shared" si="10"/>
        <v>#REF!</v>
      </c>
      <c r="H60" s="28" t="str">
        <f ca="1">IF(B60&gt;C60,"",SUMIFS(#REF!,#REF!,D60,#REF!,E60,#REF!,"SIM")-SUMIFS(#REF!,#REF!,D60,#REF!,E60,#REF!,"SIM",#REF!,"EXTERIOR"))</f>
        <v/>
      </c>
      <c r="I60" s="28" t="e">
        <f t="shared" si="13"/>
        <v>#REF!</v>
      </c>
      <c r="J60" s="28" t="str">
        <f ca="1">IF(B60&gt;C60,"",IF(B60&gt;C60,0,SUMIFS(#REF!,#REF!,"&lt;"&amp;DATE(E61,D61,1),#REF!,"sim",#REF!,"&lt;&gt;"&amp;"EXTERIOR")))</f>
        <v/>
      </c>
      <c r="K60" s="28" t="e">
        <f t="shared" si="14"/>
        <v>#REF!</v>
      </c>
      <c r="L60" s="28" t="str">
        <f ca="1">IF(B60&gt;C60,"",SUMIFS(#REF!,#REF!,D60,#REF!,E60,#REF!,"INVESTIMENTO",#REF!,"SIM"))</f>
        <v/>
      </c>
      <c r="M60" s="28" t="e">
        <f t="shared" ca="1" si="6"/>
        <v>#REF!</v>
      </c>
      <c r="N60" s="28" t="str">
        <f t="shared" ca="1" si="7"/>
        <v/>
      </c>
      <c r="O60" s="29" t="str">
        <f t="shared" ca="1" si="8"/>
        <v/>
      </c>
      <c r="P60" s="30" t="str">
        <f t="shared" ca="1" si="5"/>
        <v/>
      </c>
    </row>
    <row r="61" spans="1:16" s="49" customFormat="1" ht="20.25" customHeight="1" x14ac:dyDescent="0.2">
      <c r="A61" s="48"/>
      <c r="B61" s="47">
        <f t="shared" ca="1" si="11"/>
        <v>47906</v>
      </c>
      <c r="C61" s="47">
        <f t="shared" ca="1" si="3"/>
        <v>46322</v>
      </c>
      <c r="D61" s="48">
        <f t="shared" si="12"/>
        <v>2</v>
      </c>
      <c r="E61" s="48">
        <f t="shared" si="1"/>
        <v>2031</v>
      </c>
      <c r="F61" s="24">
        <v>47880</v>
      </c>
      <c r="G61" s="28" t="e">
        <f t="shared" si="10"/>
        <v>#REF!</v>
      </c>
      <c r="H61" s="28" t="str">
        <f ca="1">IF(B61&gt;C61,"",SUMIFS(#REF!,#REF!,D61,#REF!,E61,#REF!,"SIM")-SUMIFS(#REF!,#REF!,D61,#REF!,E61,#REF!,"SIM",#REF!,"EXTERIOR"))</f>
        <v/>
      </c>
      <c r="I61" s="28" t="e">
        <f t="shared" si="13"/>
        <v>#REF!</v>
      </c>
      <c r="J61" s="28" t="str">
        <f ca="1">IF(B61&gt;C61,"",IF(B61&gt;C61,0,SUMIFS(#REF!,#REF!,"&lt;"&amp;DATE(E62,D62,1),#REF!,"sim",#REF!,"&lt;&gt;"&amp;"EXTERIOR")))</f>
        <v/>
      </c>
      <c r="K61" s="28" t="e">
        <f t="shared" si="14"/>
        <v>#REF!</v>
      </c>
      <c r="L61" s="28" t="str">
        <f ca="1">IF(B61&gt;C61,"",SUMIFS(#REF!,#REF!,D61,#REF!,E61,#REF!,"INVESTIMENTO",#REF!,"SIM"))</f>
        <v/>
      </c>
      <c r="M61" s="28" t="e">
        <f t="shared" ca="1" si="6"/>
        <v>#REF!</v>
      </c>
      <c r="N61" s="28" t="str">
        <f t="shared" ca="1" si="7"/>
        <v/>
      </c>
      <c r="O61" s="29" t="str">
        <f t="shared" ca="1" si="8"/>
        <v/>
      </c>
      <c r="P61" s="30" t="str">
        <f t="shared" ca="1" si="5"/>
        <v/>
      </c>
    </row>
    <row r="62" spans="1:16" s="49" customFormat="1" ht="20.25" customHeight="1" x14ac:dyDescent="0.2">
      <c r="A62" s="48"/>
      <c r="B62" s="47">
        <f t="shared" ca="1" si="11"/>
        <v>47934</v>
      </c>
      <c r="C62" s="47">
        <f t="shared" ca="1" si="3"/>
        <v>46322</v>
      </c>
      <c r="D62" s="48">
        <f t="shared" si="12"/>
        <v>3</v>
      </c>
      <c r="E62" s="48">
        <f t="shared" si="1"/>
        <v>2031</v>
      </c>
      <c r="F62" s="24">
        <v>47908</v>
      </c>
      <c r="G62" s="28" t="e">
        <f t="shared" si="10"/>
        <v>#REF!</v>
      </c>
      <c r="H62" s="28" t="str">
        <f ca="1">IF(B62&gt;C62,"",SUMIFS(#REF!,#REF!,D62,#REF!,E62,#REF!,"SIM")-SUMIFS(#REF!,#REF!,D62,#REF!,E62,#REF!,"SIM",#REF!,"EXTERIOR"))</f>
        <v/>
      </c>
      <c r="I62" s="28" t="e">
        <f t="shared" si="13"/>
        <v>#REF!</v>
      </c>
      <c r="J62" s="28" t="str">
        <f ca="1">IF(B62&gt;C62,"",IF(B62&gt;C62,0,SUMIFS(#REF!,#REF!,"&lt;"&amp;DATE(E63,D63,1),#REF!,"sim",#REF!,"&lt;&gt;"&amp;"EXTERIOR")))</f>
        <v/>
      </c>
      <c r="K62" s="28" t="e">
        <f t="shared" si="14"/>
        <v>#REF!</v>
      </c>
      <c r="L62" s="28" t="str">
        <f ca="1">IF(B62&gt;C62,"",SUMIFS(#REF!,#REF!,D62,#REF!,E62,#REF!,"INVESTIMENTO",#REF!,"SIM"))</f>
        <v/>
      </c>
      <c r="M62" s="28" t="e">
        <f t="shared" ca="1" si="6"/>
        <v>#REF!</v>
      </c>
      <c r="N62" s="28" t="str">
        <f t="shared" ca="1" si="7"/>
        <v/>
      </c>
      <c r="O62" s="29" t="str">
        <f t="shared" ca="1" si="8"/>
        <v/>
      </c>
      <c r="P62" s="30" t="str">
        <f t="shared" ca="1" si="5"/>
        <v/>
      </c>
    </row>
    <row r="63" spans="1:16" s="49" customFormat="1" ht="20.25" customHeight="1" x14ac:dyDescent="0.2">
      <c r="A63" s="48"/>
      <c r="B63" s="47">
        <f t="shared" ca="1" si="11"/>
        <v>47965</v>
      </c>
      <c r="C63" s="47">
        <f t="shared" ca="1" si="3"/>
        <v>46322</v>
      </c>
      <c r="D63" s="48">
        <f t="shared" si="12"/>
        <v>4</v>
      </c>
      <c r="E63" s="48">
        <f t="shared" si="1"/>
        <v>2031</v>
      </c>
      <c r="F63" s="24">
        <v>47939</v>
      </c>
      <c r="G63" s="28" t="e">
        <f t="shared" si="10"/>
        <v>#REF!</v>
      </c>
      <c r="H63" s="28" t="str">
        <f ca="1">IF(B63&gt;C63,"",SUMIFS(#REF!,#REF!,D63,#REF!,E63,#REF!,"SIM")-SUMIFS(#REF!,#REF!,D63,#REF!,E63,#REF!,"SIM",#REF!,"EXTERIOR"))</f>
        <v/>
      </c>
      <c r="I63" s="28" t="e">
        <f t="shared" si="13"/>
        <v>#REF!</v>
      </c>
      <c r="J63" s="28" t="str">
        <f ca="1">IF(B63&gt;C63,"",IF(B63&gt;C63,0,SUMIFS(#REF!,#REF!,"&lt;"&amp;DATE(E64,D64,1),#REF!,"sim",#REF!,"&lt;&gt;"&amp;"EXTERIOR")))</f>
        <v/>
      </c>
      <c r="K63" s="28" t="e">
        <f t="shared" si="14"/>
        <v>#REF!</v>
      </c>
      <c r="L63" s="28" t="str">
        <f ca="1">IF(B63&gt;C63,"",SUMIFS(#REF!,#REF!,D63,#REF!,E63,#REF!,"INVESTIMENTO",#REF!,"SIM"))</f>
        <v/>
      </c>
      <c r="M63" s="28" t="e">
        <f t="shared" ca="1" si="6"/>
        <v>#REF!</v>
      </c>
      <c r="N63" s="28" t="str">
        <f t="shared" ca="1" si="7"/>
        <v/>
      </c>
      <c r="O63" s="29" t="str">
        <f t="shared" ca="1" si="8"/>
        <v/>
      </c>
      <c r="P63" s="30" t="str">
        <f t="shared" ca="1" si="5"/>
        <v/>
      </c>
    </row>
    <row r="64" spans="1:16" s="49" customFormat="1" ht="20.25" customHeight="1" x14ac:dyDescent="0.2">
      <c r="A64" s="48"/>
      <c r="B64" s="47">
        <f t="shared" ca="1" si="11"/>
        <v>47995</v>
      </c>
      <c r="C64" s="47">
        <f t="shared" ca="1" si="3"/>
        <v>46322</v>
      </c>
      <c r="D64" s="48">
        <f t="shared" si="12"/>
        <v>5</v>
      </c>
      <c r="E64" s="48">
        <f t="shared" si="1"/>
        <v>2031</v>
      </c>
      <c r="F64" s="24">
        <v>47969</v>
      </c>
      <c r="G64" s="28" t="e">
        <f t="shared" si="10"/>
        <v>#REF!</v>
      </c>
      <c r="H64" s="28" t="str">
        <f ca="1">IF(B64&gt;C64,"",SUMIFS(#REF!,#REF!,D64,#REF!,E64,#REF!,"SIM")-SUMIFS(#REF!,#REF!,D64,#REF!,E64,#REF!,"SIM",#REF!,"EXTERIOR"))</f>
        <v/>
      </c>
      <c r="I64" s="28" t="e">
        <f t="shared" si="13"/>
        <v>#REF!</v>
      </c>
      <c r="J64" s="28" t="str">
        <f ca="1">IF(B64&gt;C64,"",IF(B64&gt;C64,0,SUMIFS(#REF!,#REF!,"&lt;"&amp;DATE(E65,D65,1),#REF!,"sim",#REF!,"&lt;&gt;"&amp;"EXTERIOR")))</f>
        <v/>
      </c>
      <c r="K64" s="28" t="e">
        <f t="shared" si="14"/>
        <v>#REF!</v>
      </c>
      <c r="L64" s="28" t="str">
        <f ca="1">IF(B64&gt;C64,"",SUMIFS(#REF!,#REF!,D64,#REF!,E64,#REF!,"INVESTIMENTO",#REF!,"SIM"))</f>
        <v/>
      </c>
      <c r="M64" s="28" t="e">
        <f t="shared" ca="1" si="6"/>
        <v>#REF!</v>
      </c>
      <c r="N64" s="28" t="str">
        <f t="shared" ca="1" si="7"/>
        <v/>
      </c>
      <c r="O64" s="29" t="str">
        <f t="shared" ca="1" si="8"/>
        <v/>
      </c>
      <c r="P64" s="30" t="str">
        <f t="shared" ca="1" si="5"/>
        <v/>
      </c>
    </row>
    <row r="65" spans="1:16" s="49" customFormat="1" ht="20.25" customHeight="1" x14ac:dyDescent="0.2">
      <c r="A65" s="48"/>
      <c r="B65" s="47">
        <f t="shared" ca="1" si="11"/>
        <v>48026</v>
      </c>
      <c r="C65" s="47">
        <f t="shared" ca="1" si="3"/>
        <v>46322</v>
      </c>
      <c r="D65" s="48">
        <f t="shared" si="12"/>
        <v>6</v>
      </c>
      <c r="E65" s="48">
        <f t="shared" si="1"/>
        <v>2031</v>
      </c>
      <c r="F65" s="24">
        <v>48000</v>
      </c>
      <c r="G65" s="28" t="e">
        <f t="shared" si="10"/>
        <v>#REF!</v>
      </c>
      <c r="H65" s="28" t="str">
        <f ca="1">IF(B65&gt;C65,"",SUMIFS(#REF!,#REF!,D65,#REF!,E65,#REF!,"SIM")-SUMIFS(#REF!,#REF!,D65,#REF!,E65,#REF!,"SIM",#REF!,"EXTERIOR"))</f>
        <v/>
      </c>
      <c r="I65" s="28" t="e">
        <f t="shared" si="13"/>
        <v>#REF!</v>
      </c>
      <c r="J65" s="28" t="str">
        <f ca="1">IF(B65&gt;C65,"",IF(B65&gt;C65,0,SUMIFS(#REF!,#REF!,"&lt;"&amp;DATE(E66,D66,1),#REF!,"sim",#REF!,"&lt;&gt;"&amp;"EXTERIOR")))</f>
        <v/>
      </c>
      <c r="K65" s="28" t="e">
        <f t="shared" si="14"/>
        <v>#REF!</v>
      </c>
      <c r="L65" s="28" t="str">
        <f ca="1">IF(B65&gt;C65,"",SUMIFS(#REF!,#REF!,D65,#REF!,E65,#REF!,"INVESTIMENTO",#REF!,"SIM"))</f>
        <v/>
      </c>
      <c r="M65" s="28" t="e">
        <f t="shared" ca="1" si="6"/>
        <v>#REF!</v>
      </c>
      <c r="N65" s="28" t="str">
        <f t="shared" ca="1" si="7"/>
        <v/>
      </c>
      <c r="O65" s="29" t="str">
        <f t="shared" ca="1" si="8"/>
        <v/>
      </c>
      <c r="P65" s="30" t="str">
        <f t="shared" ca="1" si="5"/>
        <v/>
      </c>
    </row>
    <row r="66" spans="1:16" s="49" customFormat="1" ht="20.25" customHeight="1" x14ac:dyDescent="0.2">
      <c r="A66" s="48"/>
      <c r="B66" s="47">
        <f t="shared" ca="1" si="11"/>
        <v>48056</v>
      </c>
      <c r="C66" s="47">
        <f t="shared" ca="1" si="3"/>
        <v>46322</v>
      </c>
      <c r="D66" s="48">
        <f t="shared" si="12"/>
        <v>7</v>
      </c>
      <c r="E66" s="48">
        <f t="shared" si="1"/>
        <v>2031</v>
      </c>
      <c r="F66" s="24">
        <v>48030</v>
      </c>
      <c r="G66" s="28" t="e">
        <f t="shared" si="10"/>
        <v>#REF!</v>
      </c>
      <c r="H66" s="28" t="str">
        <f ca="1">IF(B66&gt;C66,"",SUMIFS(#REF!,#REF!,D66,#REF!,E66,#REF!,"SIM")-SUMIFS(#REF!,#REF!,D66,#REF!,E66,#REF!,"SIM",#REF!,"EXTERIOR"))</f>
        <v/>
      </c>
      <c r="I66" s="28" t="e">
        <f t="shared" si="13"/>
        <v>#REF!</v>
      </c>
      <c r="J66" s="28" t="str">
        <f ca="1">IF(B66&gt;C66,"",IF(B66&gt;C66,0,SUMIFS(#REF!,#REF!,"&lt;"&amp;DATE(E67,D67,1),#REF!,"sim",#REF!,"&lt;&gt;"&amp;"EXTERIOR")))</f>
        <v/>
      </c>
      <c r="K66" s="28" t="e">
        <f t="shared" si="14"/>
        <v>#REF!</v>
      </c>
      <c r="L66" s="28" t="str">
        <f ca="1">IF(B66&gt;C66,"",SUMIFS(#REF!,#REF!,D66,#REF!,E66,#REF!,"INVESTIMENTO",#REF!,"SIM"))</f>
        <v/>
      </c>
      <c r="M66" s="28" t="e">
        <f t="shared" ca="1" si="6"/>
        <v>#REF!</v>
      </c>
      <c r="N66" s="28" t="str">
        <f t="shared" ca="1" si="7"/>
        <v/>
      </c>
      <c r="O66" s="29" t="str">
        <f t="shared" ca="1" si="8"/>
        <v/>
      </c>
      <c r="P66" s="30" t="str">
        <f t="shared" ca="1" si="5"/>
        <v/>
      </c>
    </row>
    <row r="67" spans="1:16" s="49" customFormat="1" ht="20.25" customHeight="1" x14ac:dyDescent="0.2">
      <c r="A67" s="48"/>
      <c r="B67" s="47">
        <f t="shared" ca="1" si="11"/>
        <v>48087</v>
      </c>
      <c r="C67" s="47">
        <f t="shared" ca="1" si="3"/>
        <v>46322</v>
      </c>
      <c r="D67" s="48">
        <f t="shared" si="12"/>
        <v>8</v>
      </c>
      <c r="E67" s="48">
        <f t="shared" si="1"/>
        <v>2031</v>
      </c>
      <c r="F67" s="24">
        <v>48061</v>
      </c>
      <c r="G67" s="28" t="e">
        <f t="shared" si="10"/>
        <v>#REF!</v>
      </c>
      <c r="H67" s="28" t="str">
        <f ca="1">IF(B67&gt;C67,"",SUMIFS(#REF!,#REF!,D67,#REF!,E67,#REF!,"SIM")-SUMIFS(#REF!,#REF!,D67,#REF!,E67,#REF!,"SIM",#REF!,"EXTERIOR"))</f>
        <v/>
      </c>
      <c r="I67" s="28" t="e">
        <f t="shared" si="13"/>
        <v>#REF!</v>
      </c>
      <c r="J67" s="28" t="str">
        <f ca="1">IF(B67&gt;C67,"",IF(B67&gt;C67,0,SUMIFS(#REF!,#REF!,"&lt;"&amp;DATE(E68,D68,1),#REF!,"sim",#REF!,"&lt;&gt;"&amp;"EXTERIOR")))</f>
        <v/>
      </c>
      <c r="K67" s="28" t="e">
        <f t="shared" si="14"/>
        <v>#REF!</v>
      </c>
      <c r="L67" s="28" t="str">
        <f ca="1">IF(B67&gt;C67,"",SUMIFS(#REF!,#REF!,D67,#REF!,E67,#REF!,"INVESTIMENTO",#REF!,"SIM"))</f>
        <v/>
      </c>
      <c r="M67" s="28" t="e">
        <f t="shared" ca="1" si="6"/>
        <v>#REF!</v>
      </c>
      <c r="N67" s="28" t="str">
        <f t="shared" ca="1" si="7"/>
        <v/>
      </c>
      <c r="O67" s="29" t="str">
        <f t="shared" ca="1" si="8"/>
        <v/>
      </c>
      <c r="P67" s="30" t="str">
        <f t="shared" ca="1" si="5"/>
        <v/>
      </c>
    </row>
    <row r="68" spans="1:16" s="49" customFormat="1" ht="20.25" customHeight="1" x14ac:dyDescent="0.2">
      <c r="A68" s="48"/>
      <c r="B68" s="47">
        <f t="shared" ca="1" si="11"/>
        <v>48118</v>
      </c>
      <c r="C68" s="47">
        <f t="shared" ca="1" si="3"/>
        <v>46322</v>
      </c>
      <c r="D68" s="48">
        <f t="shared" si="12"/>
        <v>9</v>
      </c>
      <c r="E68" s="48">
        <f t="shared" si="1"/>
        <v>2031</v>
      </c>
      <c r="F68" s="24">
        <v>48092</v>
      </c>
      <c r="G68" s="28" t="e">
        <f t="shared" si="10"/>
        <v>#REF!</v>
      </c>
      <c r="H68" s="28" t="str">
        <f ca="1">IF(B68&gt;C68,"",SUMIFS(#REF!,#REF!,D68,#REF!,E68,#REF!,"SIM")-SUMIFS(#REF!,#REF!,D68,#REF!,E68,#REF!,"SIM",#REF!,"EXTERIOR"))</f>
        <v/>
      </c>
      <c r="I68" s="28" t="e">
        <f t="shared" si="13"/>
        <v>#REF!</v>
      </c>
      <c r="J68" s="28" t="str">
        <f ca="1">IF(B68&gt;C68,"",IF(B68&gt;C68,0,SUMIFS(#REF!,#REF!,"&lt;"&amp;DATE(E69,D69,1),#REF!,"sim",#REF!,"&lt;&gt;"&amp;"EXTERIOR")))</f>
        <v/>
      </c>
      <c r="K68" s="28" t="e">
        <f t="shared" si="14"/>
        <v>#REF!</v>
      </c>
      <c r="L68" s="28" t="str">
        <f ca="1">IF(B68&gt;C68,"",SUMIFS(#REF!,#REF!,D68,#REF!,E68,#REF!,"INVESTIMENTO",#REF!,"SIM"))</f>
        <v/>
      </c>
      <c r="M68" s="28" t="e">
        <f t="shared" ca="1" si="6"/>
        <v>#REF!</v>
      </c>
      <c r="N68" s="28" t="str">
        <f t="shared" ca="1" si="7"/>
        <v/>
      </c>
      <c r="O68" s="29" t="str">
        <f t="shared" ca="1" si="8"/>
        <v/>
      </c>
      <c r="P68" s="30" t="str">
        <f t="shared" ca="1" si="5"/>
        <v/>
      </c>
    </row>
    <row r="69" spans="1:16" s="49" customFormat="1" ht="20.25" customHeight="1" x14ac:dyDescent="0.2">
      <c r="A69" s="48"/>
      <c r="B69" s="47">
        <f t="shared" ca="1" si="11"/>
        <v>48148</v>
      </c>
      <c r="C69" s="47">
        <f t="shared" ca="1" si="3"/>
        <v>46322</v>
      </c>
      <c r="D69" s="48">
        <f t="shared" si="12"/>
        <v>10</v>
      </c>
      <c r="E69" s="48">
        <f t="shared" si="1"/>
        <v>2031</v>
      </c>
      <c r="F69" s="24">
        <v>48122</v>
      </c>
      <c r="G69" s="28" t="e">
        <f t="shared" si="10"/>
        <v>#REF!</v>
      </c>
      <c r="H69" s="28" t="str">
        <f ca="1">IF(B69&gt;C69,"",SUMIFS(#REF!,#REF!,D69,#REF!,E69,#REF!,"SIM")-SUMIFS(#REF!,#REF!,D69,#REF!,E69,#REF!,"SIM",#REF!,"EXTERIOR"))</f>
        <v/>
      </c>
      <c r="I69" s="28" t="e">
        <f t="shared" si="13"/>
        <v>#REF!</v>
      </c>
      <c r="J69" s="28" t="str">
        <f ca="1">IF(B69&gt;C69,"",IF(B69&gt;C69,0,SUMIFS(#REF!,#REF!,"&lt;"&amp;DATE(E70,D70,1),#REF!,"sim",#REF!,"&lt;&gt;"&amp;"EXTERIOR")))</f>
        <v/>
      </c>
      <c r="K69" s="28" t="e">
        <f t="shared" si="14"/>
        <v>#REF!</v>
      </c>
      <c r="L69" s="28" t="str">
        <f ca="1">IF(B69&gt;C69,"",SUMIFS(#REF!,#REF!,D69,#REF!,E69,#REF!,"INVESTIMENTO",#REF!,"SIM"))</f>
        <v/>
      </c>
      <c r="M69" s="28" t="e">
        <f t="shared" ca="1" si="6"/>
        <v>#REF!</v>
      </c>
      <c r="N69" s="28" t="str">
        <f t="shared" ca="1" si="7"/>
        <v/>
      </c>
      <c r="O69" s="29" t="str">
        <f t="shared" ca="1" si="8"/>
        <v/>
      </c>
      <c r="P69" s="30" t="str">
        <f t="shared" ca="1" si="5"/>
        <v/>
      </c>
    </row>
    <row r="70" spans="1:16" s="49" customFormat="1" ht="20.25" customHeight="1" x14ac:dyDescent="0.2">
      <c r="A70" s="48"/>
      <c r="B70" s="47">
        <f t="shared" ca="1" si="11"/>
        <v>48179</v>
      </c>
      <c r="C70" s="47">
        <f t="shared" ca="1" si="3"/>
        <v>46322</v>
      </c>
      <c r="D70" s="48">
        <f t="shared" si="12"/>
        <v>11</v>
      </c>
      <c r="E70" s="48">
        <f t="shared" si="1"/>
        <v>2031</v>
      </c>
      <c r="F70" s="24">
        <v>48153</v>
      </c>
      <c r="G70" s="28" t="e">
        <f t="shared" si="10"/>
        <v>#REF!</v>
      </c>
      <c r="H70" s="28" t="str">
        <f ca="1">IF(B70&gt;C70,"",SUMIFS(#REF!,#REF!,D70,#REF!,E70,#REF!,"SIM")-SUMIFS(#REF!,#REF!,D70,#REF!,E70,#REF!,"SIM",#REF!,"EXTERIOR"))</f>
        <v/>
      </c>
      <c r="I70" s="28" t="e">
        <f t="shared" si="13"/>
        <v>#REF!</v>
      </c>
      <c r="J70" s="28" t="str">
        <f ca="1">IF(B70&gt;C70,"",IF(B70&gt;C70,0,SUMIFS(#REF!,#REF!,"&lt;"&amp;DATE(E71,D71,1),#REF!,"sim",#REF!,"&lt;&gt;"&amp;"EXTERIOR")))</f>
        <v/>
      </c>
      <c r="K70" s="28" t="e">
        <f t="shared" si="14"/>
        <v>#REF!</v>
      </c>
      <c r="L70" s="28" t="str">
        <f ca="1">IF(B70&gt;C70,"",SUMIFS(#REF!,#REF!,D70,#REF!,E70,#REF!,"INVESTIMENTO",#REF!,"SIM"))</f>
        <v/>
      </c>
      <c r="M70" s="28" t="e">
        <f t="shared" ca="1" si="6"/>
        <v>#REF!</v>
      </c>
      <c r="N70" s="28" t="str">
        <f t="shared" ca="1" si="7"/>
        <v/>
      </c>
      <c r="O70" s="29" t="str">
        <f t="shared" ca="1" si="8"/>
        <v/>
      </c>
      <c r="P70" s="30" t="str">
        <f t="shared" ca="1" si="5"/>
        <v/>
      </c>
    </row>
    <row r="71" spans="1:16" s="49" customFormat="1" ht="20.25" customHeight="1" x14ac:dyDescent="0.2">
      <c r="A71" s="48"/>
      <c r="B71" s="47">
        <f t="shared" ca="1" si="11"/>
        <v>48209</v>
      </c>
      <c r="C71" s="47">
        <f t="shared" ca="1" si="3"/>
        <v>46322</v>
      </c>
      <c r="D71" s="48">
        <f t="shared" si="12"/>
        <v>12</v>
      </c>
      <c r="E71" s="48">
        <f t="shared" si="1"/>
        <v>2031</v>
      </c>
      <c r="F71" s="24">
        <v>48183</v>
      </c>
      <c r="G71" s="28" t="e">
        <f t="shared" si="10"/>
        <v>#REF!</v>
      </c>
      <c r="H71" s="28" t="str">
        <f ca="1">IF(B71&gt;C71,"",SUMIFS(#REF!,#REF!,D71,#REF!,E71,#REF!,"SIM")-SUMIFS(#REF!,#REF!,D71,#REF!,E71,#REF!,"SIM",#REF!,"EXTERIOR"))</f>
        <v/>
      </c>
      <c r="I71" s="28" t="e">
        <f t="shared" si="13"/>
        <v>#REF!</v>
      </c>
      <c r="J71" s="28" t="str">
        <f ca="1">IF(B71&gt;C71,"",IF(B71&gt;C71,0,SUMIFS(#REF!,#REF!,"&lt;"&amp;DATE(E72,D72,1),#REF!,"sim",#REF!,"&lt;&gt;"&amp;"EXTERIOR")))</f>
        <v/>
      </c>
      <c r="K71" s="28" t="e">
        <f t="shared" si="14"/>
        <v>#REF!</v>
      </c>
      <c r="L71" s="28" t="str">
        <f ca="1">IF(B71&gt;C71,"",SUMIFS(#REF!,#REF!,D71,#REF!,E71,#REF!,"INVESTIMENTO",#REF!,"SIM"))</f>
        <v/>
      </c>
      <c r="M71" s="28" t="e">
        <f t="shared" ca="1" si="6"/>
        <v>#REF!</v>
      </c>
      <c r="N71" s="28" t="str">
        <f t="shared" ca="1" si="7"/>
        <v/>
      </c>
      <c r="O71" s="29" t="str">
        <f t="shared" ca="1" si="8"/>
        <v/>
      </c>
      <c r="P71" s="30" t="str">
        <f t="shared" ca="1" si="5"/>
        <v/>
      </c>
    </row>
    <row r="72" spans="1:16" s="49" customFormat="1" ht="20.25" customHeight="1" x14ac:dyDescent="0.2">
      <c r="A72" s="48"/>
      <c r="B72" s="47">
        <f t="shared" ca="1" si="11"/>
        <v>48240</v>
      </c>
      <c r="C72" s="47">
        <f t="shared" ca="1" si="3"/>
        <v>46322</v>
      </c>
      <c r="D72" s="48">
        <f t="shared" si="12"/>
        <v>1</v>
      </c>
      <c r="E72" s="48">
        <f t="shared" si="1"/>
        <v>2032</v>
      </c>
      <c r="F72" s="24">
        <v>48214</v>
      </c>
      <c r="G72" s="28" t="e">
        <f t="shared" si="10"/>
        <v>#REF!</v>
      </c>
      <c r="H72" s="28" t="str">
        <f ca="1">IF(B72&gt;C72,"",SUMIFS(#REF!,#REF!,D72,#REF!,E72,#REF!,"SIM")-SUMIFS(#REF!,#REF!,D72,#REF!,E72,#REF!,"SIM",#REF!,"EXTERIOR"))</f>
        <v/>
      </c>
      <c r="I72" s="28" t="e">
        <f t="shared" si="13"/>
        <v>#REF!</v>
      </c>
      <c r="J72" s="28" t="str">
        <f ca="1">IF(B72&gt;C72,"",IF(B72&gt;C72,0,SUMIFS(#REF!,#REF!,"&lt;"&amp;DATE(E73,D73,1),#REF!,"sim",#REF!,"&lt;&gt;"&amp;"EXTERIOR")))</f>
        <v/>
      </c>
      <c r="K72" s="28" t="e">
        <f t="shared" si="14"/>
        <v>#REF!</v>
      </c>
      <c r="L72" s="28" t="str">
        <f ca="1">IF(B72&gt;C72,"",SUMIFS(#REF!,#REF!,D72,#REF!,E72,#REF!,"INVESTIMENTO",#REF!,"SIM"))</f>
        <v/>
      </c>
      <c r="M72" s="28" t="e">
        <f t="shared" ca="1" si="6"/>
        <v>#REF!</v>
      </c>
      <c r="N72" s="28" t="str">
        <f t="shared" ca="1" si="7"/>
        <v/>
      </c>
      <c r="O72" s="29" t="str">
        <f t="shared" ca="1" si="8"/>
        <v/>
      </c>
      <c r="P72" s="30" t="str">
        <f t="shared" ca="1" si="5"/>
        <v/>
      </c>
    </row>
    <row r="73" spans="1:16" s="49" customFormat="1" ht="20.25" customHeight="1" x14ac:dyDescent="0.2">
      <c r="A73" s="48"/>
      <c r="B73" s="47">
        <f t="shared" ca="1" si="11"/>
        <v>48271</v>
      </c>
      <c r="C73" s="47">
        <f t="shared" ca="1" si="3"/>
        <v>46322</v>
      </c>
      <c r="D73" s="48">
        <f t="shared" ref="D73:D104" si="15">MONTH(F73)</f>
        <v>2</v>
      </c>
      <c r="E73" s="48">
        <f t="shared" ref="E73:E136" si="16">YEAR(F73)</f>
        <v>2032</v>
      </c>
      <c r="F73" s="24">
        <v>48245</v>
      </c>
      <c r="G73" s="28" t="e">
        <f t="shared" si="10"/>
        <v>#REF!</v>
      </c>
      <c r="H73" s="28" t="str">
        <f ca="1">IF(B73&gt;C73,"",SUMIFS(#REF!,#REF!,D73,#REF!,E73,#REF!,"SIM")-SUMIFS(#REF!,#REF!,D73,#REF!,E73,#REF!,"SIM",#REF!,"EXTERIOR"))</f>
        <v/>
      </c>
      <c r="I73" s="28" t="e">
        <f t="shared" si="13"/>
        <v>#REF!</v>
      </c>
      <c r="J73" s="28" t="str">
        <f ca="1">IF(B73&gt;C73,"",IF(B73&gt;C73,0,SUMIFS(#REF!,#REF!,"&lt;"&amp;DATE(E74,D74,1),#REF!,"sim",#REF!,"&lt;&gt;"&amp;"EXTERIOR")))</f>
        <v/>
      </c>
      <c r="K73" s="28" t="e">
        <f t="shared" si="14"/>
        <v>#REF!</v>
      </c>
      <c r="L73" s="28" t="str">
        <f ca="1">IF(B73&gt;C73,"",SUMIFS(#REF!,#REF!,D73,#REF!,E73,#REF!,"INVESTIMENTO",#REF!,"SIM"))</f>
        <v/>
      </c>
      <c r="M73" s="28" t="e">
        <f t="shared" ca="1" si="6"/>
        <v>#REF!</v>
      </c>
      <c r="N73" s="28" t="str">
        <f t="shared" ca="1" si="7"/>
        <v/>
      </c>
      <c r="O73" s="29" t="str">
        <f t="shared" ca="1" si="8"/>
        <v/>
      </c>
      <c r="P73" s="30" t="str">
        <f t="shared" ca="1" si="5"/>
        <v/>
      </c>
    </row>
    <row r="74" spans="1:16" s="49" customFormat="1" ht="20.25" customHeight="1" x14ac:dyDescent="0.2">
      <c r="A74" s="48"/>
      <c r="B74" s="47">
        <f t="shared" ca="1" si="11"/>
        <v>48300</v>
      </c>
      <c r="C74" s="47">
        <f t="shared" ref="C74:C137" ca="1" si="17">TODAY()</f>
        <v>46322</v>
      </c>
      <c r="D74" s="48">
        <f t="shared" si="15"/>
        <v>3</v>
      </c>
      <c r="E74" s="48">
        <f t="shared" si="16"/>
        <v>2032</v>
      </c>
      <c r="F74" s="24">
        <v>48274</v>
      </c>
      <c r="G74" s="28" t="e">
        <f t="shared" si="10"/>
        <v>#REF!</v>
      </c>
      <c r="H74" s="28" t="str">
        <f ca="1">IF(B74&gt;C74,"",SUMIFS(#REF!,#REF!,D74,#REF!,E74,#REF!,"SIM")-SUMIFS(#REF!,#REF!,D74,#REF!,E74,#REF!,"SIM",#REF!,"EXTERIOR"))</f>
        <v/>
      </c>
      <c r="I74" s="28" t="e">
        <f t="shared" ref="I74:I105" si="18">G74+I73</f>
        <v>#REF!</v>
      </c>
      <c r="J74" s="28" t="str">
        <f ca="1">IF(B74&gt;C74,"",IF(B74&gt;C74,0,SUMIFS(#REF!,#REF!,"&lt;"&amp;DATE(E75,D75,1),#REF!,"sim",#REF!,"&lt;&gt;"&amp;"EXTERIOR")))</f>
        <v/>
      </c>
      <c r="K74" s="28" t="e">
        <f t="shared" si="14"/>
        <v>#REF!</v>
      </c>
      <c r="L74" s="28" t="str">
        <f ca="1">IF(B74&gt;C74,"",SUMIFS(#REF!,#REF!,D74,#REF!,E74,#REF!,"INVESTIMENTO",#REF!,"SIM"))</f>
        <v/>
      </c>
      <c r="M74" s="28" t="e">
        <f t="shared" ca="1" si="6"/>
        <v>#REF!</v>
      </c>
      <c r="N74" s="28" t="str">
        <f t="shared" ca="1" si="7"/>
        <v/>
      </c>
      <c r="O74" s="29" t="str">
        <f t="shared" ca="1" si="8"/>
        <v/>
      </c>
      <c r="P74" s="30" t="str">
        <f t="shared" ref="P74:P137" ca="1" si="19">IF(B74&gt;C74,"","OK")</f>
        <v/>
      </c>
    </row>
    <row r="75" spans="1:16" s="49" customFormat="1" ht="20.25" customHeight="1" x14ac:dyDescent="0.2">
      <c r="A75" s="48"/>
      <c r="B75" s="47">
        <f t="shared" ca="1" si="11"/>
        <v>48331</v>
      </c>
      <c r="C75" s="47">
        <f t="shared" ca="1" si="17"/>
        <v>46322</v>
      </c>
      <c r="D75" s="48">
        <f t="shared" si="15"/>
        <v>4</v>
      </c>
      <c r="E75" s="48">
        <f t="shared" si="16"/>
        <v>2032</v>
      </c>
      <c r="F75" s="24">
        <v>48305</v>
      </c>
      <c r="G75" s="28" t="e">
        <f t="shared" si="10"/>
        <v>#REF!</v>
      </c>
      <c r="H75" s="28" t="str">
        <f ca="1">IF(B75&gt;C75,"",SUMIFS(#REF!,#REF!,D75,#REF!,E75,#REF!,"SIM")-SUMIFS(#REF!,#REF!,D75,#REF!,E75,#REF!,"SIM",#REF!,"EXTERIOR"))</f>
        <v/>
      </c>
      <c r="I75" s="28" t="e">
        <f t="shared" si="18"/>
        <v>#REF!</v>
      </c>
      <c r="J75" s="28" t="str">
        <f ca="1">IF(B75&gt;C75,"",IF(B75&gt;C75,0,SUMIFS(#REF!,#REF!,"&lt;"&amp;DATE(E76,D76,1),#REF!,"sim",#REF!,"&lt;&gt;"&amp;"EXTERIOR")))</f>
        <v/>
      </c>
      <c r="K75" s="28" t="e">
        <f t="shared" si="14"/>
        <v>#REF!</v>
      </c>
      <c r="L75" s="28" t="str">
        <f ca="1">IF(B75&gt;C75,"",SUMIFS(#REF!,#REF!,D75,#REF!,E75,#REF!,"INVESTIMENTO",#REF!,"SIM"))</f>
        <v/>
      </c>
      <c r="M75" s="28" t="e">
        <f t="shared" ref="M75:M138" ca="1" si="20">K75+M74</f>
        <v>#REF!</v>
      </c>
      <c r="N75" s="28" t="str">
        <f t="shared" ref="N75:N138" ca="1" si="21">IFERROR(IF(L75=0,0,L75+N74),"")</f>
        <v/>
      </c>
      <c r="O75" s="29" t="str">
        <f t="shared" ref="O75:O138" ca="1" si="22">IFERROR(IF(L75=0,"",L75/J74),"")</f>
        <v/>
      </c>
      <c r="P75" s="30" t="str">
        <f t="shared" ca="1" si="19"/>
        <v/>
      </c>
    </row>
    <row r="76" spans="1:16" s="49" customFormat="1" ht="20.25" customHeight="1" x14ac:dyDescent="0.2">
      <c r="A76" s="48"/>
      <c r="B76" s="47">
        <f t="shared" ca="1" si="11"/>
        <v>48361</v>
      </c>
      <c r="C76" s="47">
        <f t="shared" ca="1" si="17"/>
        <v>46322</v>
      </c>
      <c r="D76" s="48">
        <f t="shared" si="15"/>
        <v>5</v>
      </c>
      <c r="E76" s="48">
        <f t="shared" si="16"/>
        <v>2032</v>
      </c>
      <c r="F76" s="24">
        <v>48335</v>
      </c>
      <c r="G76" s="28" t="e">
        <f t="shared" si="10"/>
        <v>#REF!</v>
      </c>
      <c r="H76" s="28" t="str">
        <f ca="1">IF(B76&gt;C76,"",SUMIFS(#REF!,#REF!,D76,#REF!,E76,#REF!,"SIM")-SUMIFS(#REF!,#REF!,D76,#REF!,E76,#REF!,"SIM",#REF!,"EXTERIOR"))</f>
        <v/>
      </c>
      <c r="I76" s="28" t="e">
        <f t="shared" si="18"/>
        <v>#REF!</v>
      </c>
      <c r="J76" s="28" t="str">
        <f ca="1">IF(B76&gt;C76,"",IF(B76&gt;C76,0,SUMIFS(#REF!,#REF!,"&lt;"&amp;DATE(E77,D77,1),#REF!,"sim",#REF!,"&lt;&gt;"&amp;"EXTERIOR")))</f>
        <v/>
      </c>
      <c r="K76" s="28" t="e">
        <f t="shared" si="14"/>
        <v>#REF!</v>
      </c>
      <c r="L76" s="28" t="str">
        <f ca="1">IF(B76&gt;C76,"",SUMIFS(#REF!,#REF!,D76,#REF!,E76,#REF!,"INVESTIMENTO",#REF!,"SIM"))</f>
        <v/>
      </c>
      <c r="M76" s="28" t="e">
        <f t="shared" ca="1" si="20"/>
        <v>#REF!</v>
      </c>
      <c r="N76" s="28" t="str">
        <f t="shared" ca="1" si="21"/>
        <v/>
      </c>
      <c r="O76" s="29" t="str">
        <f t="shared" ca="1" si="22"/>
        <v/>
      </c>
      <c r="P76" s="30" t="str">
        <f t="shared" ca="1" si="19"/>
        <v/>
      </c>
    </row>
    <row r="77" spans="1:16" s="49" customFormat="1" ht="20.25" customHeight="1" x14ac:dyDescent="0.2">
      <c r="A77" s="48"/>
      <c r="B77" s="47">
        <f t="shared" ca="1" si="11"/>
        <v>48392</v>
      </c>
      <c r="C77" s="47">
        <f t="shared" ca="1" si="17"/>
        <v>46322</v>
      </c>
      <c r="D77" s="48">
        <f t="shared" si="15"/>
        <v>6</v>
      </c>
      <c r="E77" s="48">
        <f t="shared" si="16"/>
        <v>2032</v>
      </c>
      <c r="F77" s="24">
        <v>48366</v>
      </c>
      <c r="G77" s="28" t="e">
        <f t="shared" si="10"/>
        <v>#REF!</v>
      </c>
      <c r="H77" s="28" t="str">
        <f ca="1">IF(B77&gt;C77,"",SUMIFS(#REF!,#REF!,D77,#REF!,E77,#REF!,"SIM")-SUMIFS(#REF!,#REF!,D77,#REF!,E77,#REF!,"SIM",#REF!,"EXTERIOR"))</f>
        <v/>
      </c>
      <c r="I77" s="28" t="e">
        <f t="shared" si="18"/>
        <v>#REF!</v>
      </c>
      <c r="J77" s="28" t="str">
        <f ca="1">IF(B77&gt;C77,"",IF(B77&gt;C77,0,SUMIFS(#REF!,#REF!,"&lt;"&amp;DATE(E78,D78,1),#REF!,"sim",#REF!,"&lt;&gt;"&amp;"EXTERIOR")))</f>
        <v/>
      </c>
      <c r="K77" s="28" t="e">
        <f t="shared" ref="K77:K108" si="23">I76*$M$3</f>
        <v>#REF!</v>
      </c>
      <c r="L77" s="28" t="str">
        <f ca="1">IF(B77&gt;C77,"",SUMIFS(#REF!,#REF!,D77,#REF!,E77,#REF!,"INVESTIMENTO",#REF!,"SIM"))</f>
        <v/>
      </c>
      <c r="M77" s="28" t="e">
        <f t="shared" ca="1" si="20"/>
        <v>#REF!</v>
      </c>
      <c r="N77" s="28" t="str">
        <f t="shared" ca="1" si="21"/>
        <v/>
      </c>
      <c r="O77" s="29" t="str">
        <f t="shared" ca="1" si="22"/>
        <v/>
      </c>
      <c r="P77" s="30" t="str">
        <f t="shared" ca="1" si="19"/>
        <v/>
      </c>
    </row>
    <row r="78" spans="1:16" s="49" customFormat="1" ht="20.25" customHeight="1" x14ac:dyDescent="0.2">
      <c r="A78" s="48"/>
      <c r="B78" s="47">
        <f t="shared" ca="1" si="11"/>
        <v>48422</v>
      </c>
      <c r="C78" s="47">
        <f t="shared" ca="1" si="17"/>
        <v>46322</v>
      </c>
      <c r="D78" s="48">
        <f t="shared" si="15"/>
        <v>7</v>
      </c>
      <c r="E78" s="48">
        <f t="shared" si="16"/>
        <v>2032</v>
      </c>
      <c r="F78" s="24">
        <v>48396</v>
      </c>
      <c r="G78" s="28" t="e">
        <f t="shared" si="10"/>
        <v>#REF!</v>
      </c>
      <c r="H78" s="28" t="str">
        <f ca="1">IF(B78&gt;C78,"",SUMIFS(#REF!,#REF!,D78,#REF!,E78,#REF!,"SIM")-SUMIFS(#REF!,#REF!,D78,#REF!,E78,#REF!,"SIM",#REF!,"EXTERIOR"))</f>
        <v/>
      </c>
      <c r="I78" s="28" t="e">
        <f t="shared" si="18"/>
        <v>#REF!</v>
      </c>
      <c r="J78" s="28" t="str">
        <f ca="1">IF(B78&gt;C78,"",IF(B78&gt;C78,0,SUMIFS(#REF!,#REF!,"&lt;"&amp;DATE(E79,D79,1),#REF!,"sim",#REF!,"&lt;&gt;"&amp;"EXTERIOR")))</f>
        <v/>
      </c>
      <c r="K78" s="28" t="e">
        <f t="shared" si="23"/>
        <v>#REF!</v>
      </c>
      <c r="L78" s="28" t="str">
        <f ca="1">IF(B78&gt;C78,"",SUMIFS(#REF!,#REF!,D78,#REF!,E78,#REF!,"INVESTIMENTO",#REF!,"SIM"))</f>
        <v/>
      </c>
      <c r="M78" s="28" t="e">
        <f t="shared" ca="1" si="20"/>
        <v>#REF!</v>
      </c>
      <c r="N78" s="28" t="str">
        <f t="shared" ca="1" si="21"/>
        <v/>
      </c>
      <c r="O78" s="29" t="str">
        <f t="shared" ca="1" si="22"/>
        <v/>
      </c>
      <c r="P78" s="30" t="str">
        <f t="shared" ca="1" si="19"/>
        <v/>
      </c>
    </row>
    <row r="79" spans="1:16" s="49" customFormat="1" ht="20.25" customHeight="1" x14ac:dyDescent="0.2">
      <c r="A79" s="48"/>
      <c r="B79" s="47">
        <f t="shared" ca="1" si="11"/>
        <v>48453</v>
      </c>
      <c r="C79" s="47">
        <f t="shared" ca="1" si="17"/>
        <v>46322</v>
      </c>
      <c r="D79" s="48">
        <f t="shared" si="15"/>
        <v>8</v>
      </c>
      <c r="E79" s="48">
        <f t="shared" si="16"/>
        <v>2032</v>
      </c>
      <c r="F79" s="24">
        <v>48427</v>
      </c>
      <c r="G79" s="28" t="e">
        <f t="shared" ref="G79:G142" si="24">3000+K79</f>
        <v>#REF!</v>
      </c>
      <c r="H79" s="28" t="str">
        <f ca="1">IF(B79&gt;C79,"",SUMIFS(#REF!,#REF!,D79,#REF!,E79,#REF!,"SIM")-SUMIFS(#REF!,#REF!,D79,#REF!,E79,#REF!,"SIM",#REF!,"EXTERIOR"))</f>
        <v/>
      </c>
      <c r="I79" s="28" t="e">
        <f t="shared" si="18"/>
        <v>#REF!</v>
      </c>
      <c r="J79" s="28" t="str">
        <f ca="1">IF(B79&gt;C79,"",IF(B79&gt;C79,0,SUMIFS(#REF!,#REF!,"&lt;"&amp;DATE(E80,D80,1),#REF!,"sim",#REF!,"&lt;&gt;"&amp;"EXTERIOR")))</f>
        <v/>
      </c>
      <c r="K79" s="28" t="e">
        <f t="shared" si="23"/>
        <v>#REF!</v>
      </c>
      <c r="L79" s="28" t="str">
        <f ca="1">IF(B79&gt;C79,"",SUMIFS(#REF!,#REF!,D79,#REF!,E79,#REF!,"INVESTIMENTO",#REF!,"SIM"))</f>
        <v/>
      </c>
      <c r="M79" s="28" t="e">
        <f t="shared" ca="1" si="20"/>
        <v>#REF!</v>
      </c>
      <c r="N79" s="28" t="str">
        <f t="shared" ca="1" si="21"/>
        <v/>
      </c>
      <c r="O79" s="29" t="str">
        <f t="shared" ca="1" si="22"/>
        <v/>
      </c>
      <c r="P79" s="30" t="str">
        <f t="shared" ca="1" si="19"/>
        <v/>
      </c>
    </row>
    <row r="80" spans="1:16" s="49" customFormat="1" ht="20.25" customHeight="1" x14ac:dyDescent="0.2">
      <c r="A80" s="48"/>
      <c r="B80" s="47">
        <f t="shared" ca="1" si="11"/>
        <v>48484</v>
      </c>
      <c r="C80" s="47">
        <f t="shared" ca="1" si="17"/>
        <v>46322</v>
      </c>
      <c r="D80" s="48">
        <f t="shared" si="15"/>
        <v>9</v>
      </c>
      <c r="E80" s="48">
        <f t="shared" si="16"/>
        <v>2032</v>
      </c>
      <c r="F80" s="24">
        <v>48458</v>
      </c>
      <c r="G80" s="28" t="e">
        <f t="shared" si="24"/>
        <v>#REF!</v>
      </c>
      <c r="H80" s="28" t="str">
        <f ca="1">IF(B80&gt;C80,"",SUMIFS(#REF!,#REF!,D80,#REF!,E80,#REF!,"SIM")-SUMIFS(#REF!,#REF!,D80,#REF!,E80,#REF!,"SIM",#REF!,"EXTERIOR"))</f>
        <v/>
      </c>
      <c r="I80" s="28" t="e">
        <f t="shared" si="18"/>
        <v>#REF!</v>
      </c>
      <c r="J80" s="28" t="str">
        <f ca="1">IF(B80&gt;C80,"",IF(B80&gt;C80,0,SUMIFS(#REF!,#REF!,"&lt;"&amp;DATE(E81,D81,1),#REF!,"sim",#REF!,"&lt;&gt;"&amp;"EXTERIOR")))</f>
        <v/>
      </c>
      <c r="K80" s="28" t="e">
        <f t="shared" si="23"/>
        <v>#REF!</v>
      </c>
      <c r="L80" s="28" t="str">
        <f ca="1">IF(B80&gt;C80,"",SUMIFS(#REF!,#REF!,D80,#REF!,E80,#REF!,"INVESTIMENTO",#REF!,"SIM"))</f>
        <v/>
      </c>
      <c r="M80" s="28" t="e">
        <f t="shared" ca="1" si="20"/>
        <v>#REF!</v>
      </c>
      <c r="N80" s="28" t="str">
        <f t="shared" ca="1" si="21"/>
        <v/>
      </c>
      <c r="O80" s="29" t="str">
        <f t="shared" ca="1" si="22"/>
        <v/>
      </c>
      <c r="P80" s="30" t="str">
        <f t="shared" ca="1" si="19"/>
        <v/>
      </c>
    </row>
    <row r="81" spans="1:16" s="49" customFormat="1" ht="20.25" customHeight="1" x14ac:dyDescent="0.2">
      <c r="A81" s="48"/>
      <c r="B81" s="47">
        <f t="shared" ca="1" si="11"/>
        <v>48514</v>
      </c>
      <c r="C81" s="47">
        <f t="shared" ca="1" si="17"/>
        <v>46322</v>
      </c>
      <c r="D81" s="48">
        <f t="shared" si="15"/>
        <v>10</v>
      </c>
      <c r="E81" s="48">
        <f t="shared" si="16"/>
        <v>2032</v>
      </c>
      <c r="F81" s="24">
        <v>48488</v>
      </c>
      <c r="G81" s="28" t="e">
        <f t="shared" si="24"/>
        <v>#REF!</v>
      </c>
      <c r="H81" s="28" t="str">
        <f ca="1">IF(B81&gt;C81,"",SUMIFS(#REF!,#REF!,D81,#REF!,E81,#REF!,"SIM")-SUMIFS(#REF!,#REF!,D81,#REF!,E81,#REF!,"SIM",#REF!,"EXTERIOR"))</f>
        <v/>
      </c>
      <c r="I81" s="28" t="e">
        <f t="shared" si="18"/>
        <v>#REF!</v>
      </c>
      <c r="J81" s="28" t="str">
        <f ca="1">IF(B81&gt;C81,"",IF(B81&gt;C81,0,SUMIFS(#REF!,#REF!,"&lt;"&amp;DATE(E82,D82,1),#REF!,"sim",#REF!,"&lt;&gt;"&amp;"EXTERIOR")))</f>
        <v/>
      </c>
      <c r="K81" s="28" t="e">
        <f t="shared" si="23"/>
        <v>#REF!</v>
      </c>
      <c r="L81" s="28" t="str">
        <f ca="1">IF(B81&gt;C81,"",SUMIFS(#REF!,#REF!,D81,#REF!,E81,#REF!,"INVESTIMENTO",#REF!,"SIM"))</f>
        <v/>
      </c>
      <c r="M81" s="28" t="e">
        <f t="shared" ca="1" si="20"/>
        <v>#REF!</v>
      </c>
      <c r="N81" s="28" t="str">
        <f t="shared" ca="1" si="21"/>
        <v/>
      </c>
      <c r="O81" s="29" t="str">
        <f t="shared" ca="1" si="22"/>
        <v/>
      </c>
      <c r="P81" s="30" t="str">
        <f t="shared" ca="1" si="19"/>
        <v/>
      </c>
    </row>
    <row r="82" spans="1:16" s="49" customFormat="1" ht="20.25" customHeight="1" x14ac:dyDescent="0.2">
      <c r="A82" s="48"/>
      <c r="B82" s="47">
        <f t="shared" ca="1" si="11"/>
        <v>48545</v>
      </c>
      <c r="C82" s="47">
        <f t="shared" ca="1" si="17"/>
        <v>46322</v>
      </c>
      <c r="D82" s="48">
        <f t="shared" si="15"/>
        <v>11</v>
      </c>
      <c r="E82" s="48">
        <f t="shared" si="16"/>
        <v>2032</v>
      </c>
      <c r="F82" s="24">
        <v>48519</v>
      </c>
      <c r="G82" s="28" t="e">
        <f t="shared" si="24"/>
        <v>#REF!</v>
      </c>
      <c r="H82" s="28" t="str">
        <f ca="1">IF(B82&gt;C82,"",SUMIFS(#REF!,#REF!,D82,#REF!,E82,#REF!,"SIM")-SUMIFS(#REF!,#REF!,D82,#REF!,E82,#REF!,"SIM",#REF!,"EXTERIOR"))</f>
        <v/>
      </c>
      <c r="I82" s="28" t="e">
        <f t="shared" si="18"/>
        <v>#REF!</v>
      </c>
      <c r="J82" s="28" t="str">
        <f ca="1">IF(B82&gt;C82,"",IF(B82&gt;C82,0,SUMIFS(#REF!,#REF!,"&lt;"&amp;DATE(E83,D83,1),#REF!,"sim",#REF!,"&lt;&gt;"&amp;"EXTERIOR")))</f>
        <v/>
      </c>
      <c r="K82" s="28" t="e">
        <f t="shared" si="23"/>
        <v>#REF!</v>
      </c>
      <c r="L82" s="28" t="str">
        <f ca="1">IF(B82&gt;C82,"",SUMIFS(#REF!,#REF!,D82,#REF!,E82,#REF!,"INVESTIMENTO",#REF!,"SIM"))</f>
        <v/>
      </c>
      <c r="M82" s="28" t="e">
        <f t="shared" ca="1" si="20"/>
        <v>#REF!</v>
      </c>
      <c r="N82" s="28" t="str">
        <f t="shared" ca="1" si="21"/>
        <v/>
      </c>
      <c r="O82" s="29" t="str">
        <f t="shared" ca="1" si="22"/>
        <v/>
      </c>
      <c r="P82" s="30" t="str">
        <f t="shared" ca="1" si="19"/>
        <v/>
      </c>
    </row>
    <row r="83" spans="1:16" s="49" customFormat="1" ht="20.25" customHeight="1" x14ac:dyDescent="0.2">
      <c r="A83" s="48"/>
      <c r="B83" s="47">
        <f t="shared" ca="1" si="11"/>
        <v>48575</v>
      </c>
      <c r="C83" s="47">
        <f t="shared" ca="1" si="17"/>
        <v>46322</v>
      </c>
      <c r="D83" s="48">
        <f t="shared" si="15"/>
        <v>12</v>
      </c>
      <c r="E83" s="48">
        <f t="shared" si="16"/>
        <v>2032</v>
      </c>
      <c r="F83" s="24">
        <v>48549</v>
      </c>
      <c r="G83" s="28" t="e">
        <f t="shared" si="24"/>
        <v>#REF!</v>
      </c>
      <c r="H83" s="28" t="str">
        <f ca="1">IF(B83&gt;C83,"",SUMIFS(#REF!,#REF!,D83,#REF!,E83,#REF!,"SIM")-SUMIFS(#REF!,#REF!,D83,#REF!,E83,#REF!,"SIM",#REF!,"EXTERIOR"))</f>
        <v/>
      </c>
      <c r="I83" s="28" t="e">
        <f t="shared" si="18"/>
        <v>#REF!</v>
      </c>
      <c r="J83" s="28" t="str">
        <f ca="1">IF(B83&gt;C83,"",IF(B83&gt;C83,0,SUMIFS(#REF!,#REF!,"&lt;"&amp;DATE(E84,D84,1),#REF!,"sim",#REF!,"&lt;&gt;"&amp;"EXTERIOR")))</f>
        <v/>
      </c>
      <c r="K83" s="28" t="e">
        <f t="shared" si="23"/>
        <v>#REF!</v>
      </c>
      <c r="L83" s="28" t="str">
        <f ca="1">IF(B83&gt;C83,"",SUMIFS(#REF!,#REF!,D83,#REF!,E83,#REF!,"INVESTIMENTO",#REF!,"SIM"))</f>
        <v/>
      </c>
      <c r="M83" s="28" t="e">
        <f t="shared" ca="1" si="20"/>
        <v>#REF!</v>
      </c>
      <c r="N83" s="28" t="str">
        <f t="shared" ca="1" si="21"/>
        <v/>
      </c>
      <c r="O83" s="29" t="str">
        <f t="shared" ca="1" si="22"/>
        <v/>
      </c>
      <c r="P83" s="30" t="str">
        <f t="shared" ca="1" si="19"/>
        <v/>
      </c>
    </row>
    <row r="84" spans="1:16" s="49" customFormat="1" ht="20.25" customHeight="1" x14ac:dyDescent="0.2">
      <c r="A84" s="48"/>
      <c r="B84" s="47">
        <f t="shared" ca="1" si="11"/>
        <v>48606</v>
      </c>
      <c r="C84" s="47">
        <f t="shared" ca="1" si="17"/>
        <v>46322</v>
      </c>
      <c r="D84" s="48">
        <f t="shared" si="15"/>
        <v>1</v>
      </c>
      <c r="E84" s="48">
        <f t="shared" si="16"/>
        <v>2033</v>
      </c>
      <c r="F84" s="24">
        <v>48580</v>
      </c>
      <c r="G84" s="28" t="e">
        <f t="shared" si="24"/>
        <v>#REF!</v>
      </c>
      <c r="H84" s="28" t="str">
        <f ca="1">IF(B84&gt;C84,"",SUMIFS(#REF!,#REF!,D84,#REF!,E84,#REF!,"SIM")-SUMIFS(#REF!,#REF!,D84,#REF!,E84,#REF!,"SIM",#REF!,"EXTERIOR"))</f>
        <v/>
      </c>
      <c r="I84" s="28" t="e">
        <f t="shared" si="18"/>
        <v>#REF!</v>
      </c>
      <c r="J84" s="28" t="str">
        <f ca="1">IF(B84&gt;C84,"",IF(B84&gt;C84,0,SUMIFS(#REF!,#REF!,"&lt;"&amp;DATE(E85,D85,1),#REF!,"sim",#REF!,"&lt;&gt;"&amp;"EXTERIOR")))</f>
        <v/>
      </c>
      <c r="K84" s="28" t="e">
        <f t="shared" si="23"/>
        <v>#REF!</v>
      </c>
      <c r="L84" s="28" t="str">
        <f ca="1">IF(B84&gt;C84,"",SUMIFS(#REF!,#REF!,D84,#REF!,E84,#REF!,"INVESTIMENTO",#REF!,"SIM"))</f>
        <v/>
      </c>
      <c r="M84" s="28" t="e">
        <f t="shared" ca="1" si="20"/>
        <v>#REF!</v>
      </c>
      <c r="N84" s="28" t="str">
        <f t="shared" ca="1" si="21"/>
        <v/>
      </c>
      <c r="O84" s="29" t="str">
        <f t="shared" ca="1" si="22"/>
        <v/>
      </c>
      <c r="P84" s="30" t="str">
        <f t="shared" ca="1" si="19"/>
        <v/>
      </c>
    </row>
    <row r="85" spans="1:16" s="49" customFormat="1" ht="20.25" customHeight="1" x14ac:dyDescent="0.2">
      <c r="A85" s="48"/>
      <c r="B85" s="47">
        <f t="shared" ca="1" si="11"/>
        <v>48637</v>
      </c>
      <c r="C85" s="47">
        <f t="shared" ca="1" si="17"/>
        <v>46322</v>
      </c>
      <c r="D85" s="48">
        <f t="shared" si="15"/>
        <v>2</v>
      </c>
      <c r="E85" s="48">
        <f t="shared" si="16"/>
        <v>2033</v>
      </c>
      <c r="F85" s="24">
        <v>48611</v>
      </c>
      <c r="G85" s="28" t="e">
        <f t="shared" si="24"/>
        <v>#REF!</v>
      </c>
      <c r="H85" s="28" t="str">
        <f ca="1">IF(B85&gt;C85,"",SUMIFS(#REF!,#REF!,D85,#REF!,E85,#REF!,"SIM")-SUMIFS(#REF!,#REF!,D85,#REF!,E85,#REF!,"SIM",#REF!,"EXTERIOR"))</f>
        <v/>
      </c>
      <c r="I85" s="28" t="e">
        <f t="shared" si="18"/>
        <v>#REF!</v>
      </c>
      <c r="J85" s="28" t="str">
        <f ca="1">IF(B85&gt;C85,"",IF(B85&gt;C85,0,SUMIFS(#REF!,#REF!,"&lt;"&amp;DATE(E86,D86,1),#REF!,"sim",#REF!,"&lt;&gt;"&amp;"EXTERIOR")))</f>
        <v/>
      </c>
      <c r="K85" s="28" t="e">
        <f t="shared" si="23"/>
        <v>#REF!</v>
      </c>
      <c r="L85" s="28" t="str">
        <f ca="1">IF(B85&gt;C85,"",SUMIFS(#REF!,#REF!,D85,#REF!,E85,#REF!,"INVESTIMENTO",#REF!,"SIM"))</f>
        <v/>
      </c>
      <c r="M85" s="28" t="e">
        <f t="shared" ca="1" si="20"/>
        <v>#REF!</v>
      </c>
      <c r="N85" s="28" t="str">
        <f t="shared" ca="1" si="21"/>
        <v/>
      </c>
      <c r="O85" s="29" t="str">
        <f t="shared" ca="1" si="22"/>
        <v/>
      </c>
      <c r="P85" s="30" t="str">
        <f t="shared" ca="1" si="19"/>
        <v/>
      </c>
    </row>
    <row r="86" spans="1:16" s="49" customFormat="1" ht="20.25" customHeight="1" x14ac:dyDescent="0.2">
      <c r="A86" s="48"/>
      <c r="B86" s="47">
        <f t="shared" ca="1" si="11"/>
        <v>48665</v>
      </c>
      <c r="C86" s="47">
        <f t="shared" ca="1" si="17"/>
        <v>46322</v>
      </c>
      <c r="D86" s="48">
        <f t="shared" si="15"/>
        <v>3</v>
      </c>
      <c r="E86" s="48">
        <f t="shared" si="16"/>
        <v>2033</v>
      </c>
      <c r="F86" s="24">
        <v>48639</v>
      </c>
      <c r="G86" s="28" t="e">
        <f t="shared" si="24"/>
        <v>#REF!</v>
      </c>
      <c r="H86" s="28" t="str">
        <f ca="1">IF(B86&gt;C86,"",SUMIFS(#REF!,#REF!,D86,#REF!,E86,#REF!,"SIM")-SUMIFS(#REF!,#REF!,D86,#REF!,E86,#REF!,"SIM",#REF!,"EXTERIOR"))</f>
        <v/>
      </c>
      <c r="I86" s="28" t="e">
        <f t="shared" si="18"/>
        <v>#REF!</v>
      </c>
      <c r="J86" s="28" t="str">
        <f ca="1">IF(B86&gt;C86,"",IF(B86&gt;C86,0,SUMIFS(#REF!,#REF!,"&lt;"&amp;DATE(E87,D87,1),#REF!,"sim",#REF!,"&lt;&gt;"&amp;"EXTERIOR")))</f>
        <v/>
      </c>
      <c r="K86" s="28" t="e">
        <f t="shared" si="23"/>
        <v>#REF!</v>
      </c>
      <c r="L86" s="28" t="str">
        <f ca="1">IF(B86&gt;C86,"",SUMIFS(#REF!,#REF!,D86,#REF!,E86,#REF!,"INVESTIMENTO",#REF!,"SIM"))</f>
        <v/>
      </c>
      <c r="M86" s="28" t="e">
        <f t="shared" ca="1" si="20"/>
        <v>#REF!</v>
      </c>
      <c r="N86" s="28" t="str">
        <f t="shared" ca="1" si="21"/>
        <v/>
      </c>
      <c r="O86" s="29" t="str">
        <f t="shared" ca="1" si="22"/>
        <v/>
      </c>
      <c r="P86" s="30" t="str">
        <f t="shared" ca="1" si="19"/>
        <v/>
      </c>
    </row>
    <row r="87" spans="1:16" s="49" customFormat="1" ht="20.25" customHeight="1" x14ac:dyDescent="0.2">
      <c r="A87" s="48"/>
      <c r="B87" s="47">
        <f t="shared" ca="1" si="11"/>
        <v>48696</v>
      </c>
      <c r="C87" s="47">
        <f t="shared" ca="1" si="17"/>
        <v>46322</v>
      </c>
      <c r="D87" s="48">
        <f t="shared" si="15"/>
        <v>4</v>
      </c>
      <c r="E87" s="48">
        <f t="shared" si="16"/>
        <v>2033</v>
      </c>
      <c r="F87" s="24">
        <v>48670</v>
      </c>
      <c r="G87" s="28" t="e">
        <f t="shared" si="24"/>
        <v>#REF!</v>
      </c>
      <c r="H87" s="28" t="str">
        <f ca="1">IF(B87&gt;C87,"",SUMIFS(#REF!,#REF!,D87,#REF!,E87,#REF!,"SIM")-SUMIFS(#REF!,#REF!,D87,#REF!,E87,#REF!,"SIM",#REF!,"EXTERIOR"))</f>
        <v/>
      </c>
      <c r="I87" s="28" t="e">
        <f t="shared" si="18"/>
        <v>#REF!</v>
      </c>
      <c r="J87" s="28" t="str">
        <f ca="1">IF(B87&gt;C87,"",IF(B87&gt;C87,0,SUMIFS(#REF!,#REF!,"&lt;"&amp;DATE(E88,D88,1),#REF!,"sim",#REF!,"&lt;&gt;"&amp;"EXTERIOR")))</f>
        <v/>
      </c>
      <c r="K87" s="28" t="e">
        <f t="shared" si="23"/>
        <v>#REF!</v>
      </c>
      <c r="L87" s="28" t="str">
        <f ca="1">IF(B87&gt;C87,"",SUMIFS(#REF!,#REF!,D87,#REF!,E87,#REF!,"INVESTIMENTO",#REF!,"SIM"))</f>
        <v/>
      </c>
      <c r="M87" s="28" t="e">
        <f t="shared" ca="1" si="20"/>
        <v>#REF!</v>
      </c>
      <c r="N87" s="28" t="str">
        <f t="shared" ca="1" si="21"/>
        <v/>
      </c>
      <c r="O87" s="29" t="str">
        <f t="shared" ca="1" si="22"/>
        <v/>
      </c>
      <c r="P87" s="30" t="str">
        <f t="shared" ca="1" si="19"/>
        <v/>
      </c>
    </row>
    <row r="88" spans="1:16" s="49" customFormat="1" ht="20.25" customHeight="1" x14ac:dyDescent="0.2">
      <c r="A88" s="48"/>
      <c r="B88" s="47">
        <f t="shared" ca="1" si="11"/>
        <v>48726</v>
      </c>
      <c r="C88" s="47">
        <f t="shared" ca="1" si="17"/>
        <v>46322</v>
      </c>
      <c r="D88" s="48">
        <f t="shared" si="15"/>
        <v>5</v>
      </c>
      <c r="E88" s="48">
        <f t="shared" si="16"/>
        <v>2033</v>
      </c>
      <c r="F88" s="24">
        <v>48700</v>
      </c>
      <c r="G88" s="28" t="e">
        <f t="shared" si="24"/>
        <v>#REF!</v>
      </c>
      <c r="H88" s="28" t="str">
        <f ca="1">IF(B88&gt;C88,"",SUMIFS(#REF!,#REF!,D88,#REF!,E88,#REF!,"SIM")-SUMIFS(#REF!,#REF!,D88,#REF!,E88,#REF!,"SIM",#REF!,"EXTERIOR"))</f>
        <v/>
      </c>
      <c r="I88" s="28" t="e">
        <f t="shared" si="18"/>
        <v>#REF!</v>
      </c>
      <c r="J88" s="28" t="str">
        <f ca="1">IF(B88&gt;C88,"",IF(B88&gt;C88,0,SUMIFS(#REF!,#REF!,"&lt;"&amp;DATE(E89,D89,1),#REF!,"sim",#REF!,"&lt;&gt;"&amp;"EXTERIOR")))</f>
        <v/>
      </c>
      <c r="K88" s="28" t="e">
        <f t="shared" si="23"/>
        <v>#REF!</v>
      </c>
      <c r="L88" s="28" t="str">
        <f ca="1">IF(B88&gt;C88,"",SUMIFS(#REF!,#REF!,D88,#REF!,E88,#REF!,"INVESTIMENTO",#REF!,"SIM"))</f>
        <v/>
      </c>
      <c r="M88" s="28" t="e">
        <f t="shared" ca="1" si="20"/>
        <v>#REF!</v>
      </c>
      <c r="N88" s="28" t="str">
        <f t="shared" ca="1" si="21"/>
        <v/>
      </c>
      <c r="O88" s="29" t="str">
        <f t="shared" ca="1" si="22"/>
        <v/>
      </c>
      <c r="P88" s="30" t="str">
        <f t="shared" ca="1" si="19"/>
        <v/>
      </c>
    </row>
    <row r="89" spans="1:16" s="49" customFormat="1" ht="20.25" customHeight="1" x14ac:dyDescent="0.2">
      <c r="A89" s="48"/>
      <c r="B89" s="47">
        <f t="shared" ca="1" si="11"/>
        <v>48757</v>
      </c>
      <c r="C89" s="47">
        <f t="shared" ca="1" si="17"/>
        <v>46322</v>
      </c>
      <c r="D89" s="48">
        <f t="shared" si="15"/>
        <v>6</v>
      </c>
      <c r="E89" s="48">
        <f t="shared" si="16"/>
        <v>2033</v>
      </c>
      <c r="F89" s="24">
        <v>48731</v>
      </c>
      <c r="G89" s="28" t="e">
        <f t="shared" si="24"/>
        <v>#REF!</v>
      </c>
      <c r="H89" s="28" t="str">
        <f ca="1">IF(B89&gt;C89,"",SUMIFS(#REF!,#REF!,D89,#REF!,E89,#REF!,"SIM")-SUMIFS(#REF!,#REF!,D89,#REF!,E89,#REF!,"SIM",#REF!,"EXTERIOR"))</f>
        <v/>
      </c>
      <c r="I89" s="28" t="e">
        <f t="shared" si="18"/>
        <v>#REF!</v>
      </c>
      <c r="J89" s="28" t="str">
        <f ca="1">IF(B89&gt;C89,"",IF(B89&gt;C89,0,SUMIFS(#REF!,#REF!,"&lt;"&amp;DATE(E90,D90,1),#REF!,"sim",#REF!,"&lt;&gt;"&amp;"EXTERIOR")))</f>
        <v/>
      </c>
      <c r="K89" s="28" t="e">
        <f t="shared" si="23"/>
        <v>#REF!</v>
      </c>
      <c r="L89" s="28" t="str">
        <f ca="1">IF(B89&gt;C89,"",SUMIFS(#REF!,#REF!,D89,#REF!,E89,#REF!,"INVESTIMENTO",#REF!,"SIM"))</f>
        <v/>
      </c>
      <c r="M89" s="28" t="e">
        <f t="shared" ca="1" si="20"/>
        <v>#REF!</v>
      </c>
      <c r="N89" s="28" t="str">
        <f t="shared" ca="1" si="21"/>
        <v/>
      </c>
      <c r="O89" s="29" t="str">
        <f t="shared" ca="1" si="22"/>
        <v/>
      </c>
      <c r="P89" s="30" t="str">
        <f t="shared" ca="1" si="19"/>
        <v/>
      </c>
    </row>
    <row r="90" spans="1:16" s="49" customFormat="1" ht="20.25" customHeight="1" x14ac:dyDescent="0.2">
      <c r="A90" s="48"/>
      <c r="B90" s="47">
        <f t="shared" ref="B90:B153" ca="1" si="25">DATE(E90,D90,DAY(TODAY()))</f>
        <v>48787</v>
      </c>
      <c r="C90" s="47">
        <f t="shared" ca="1" si="17"/>
        <v>46322</v>
      </c>
      <c r="D90" s="48">
        <f t="shared" si="15"/>
        <v>7</v>
      </c>
      <c r="E90" s="48">
        <f t="shared" si="16"/>
        <v>2033</v>
      </c>
      <c r="F90" s="24">
        <v>48761</v>
      </c>
      <c r="G90" s="28" t="e">
        <f t="shared" si="24"/>
        <v>#REF!</v>
      </c>
      <c r="H90" s="28" t="str">
        <f ca="1">IF(B90&gt;C90,"",SUMIFS(#REF!,#REF!,D90,#REF!,E90,#REF!,"SIM")-SUMIFS(#REF!,#REF!,D90,#REF!,E90,#REF!,"SIM",#REF!,"EXTERIOR"))</f>
        <v/>
      </c>
      <c r="I90" s="28" t="e">
        <f t="shared" si="18"/>
        <v>#REF!</v>
      </c>
      <c r="J90" s="28" t="str">
        <f ca="1">IF(B90&gt;C90,"",IF(B90&gt;C90,0,SUMIFS(#REF!,#REF!,"&lt;"&amp;DATE(E91,D91,1),#REF!,"sim",#REF!,"&lt;&gt;"&amp;"EXTERIOR")))</f>
        <v/>
      </c>
      <c r="K90" s="28" t="e">
        <f t="shared" si="23"/>
        <v>#REF!</v>
      </c>
      <c r="L90" s="28" t="str">
        <f ca="1">IF(B90&gt;C90,"",SUMIFS(#REF!,#REF!,D90,#REF!,E90,#REF!,"INVESTIMENTO",#REF!,"SIM"))</f>
        <v/>
      </c>
      <c r="M90" s="28" t="e">
        <f t="shared" ca="1" si="20"/>
        <v>#REF!</v>
      </c>
      <c r="N90" s="28" t="str">
        <f t="shared" ca="1" si="21"/>
        <v/>
      </c>
      <c r="O90" s="29" t="str">
        <f t="shared" ca="1" si="22"/>
        <v/>
      </c>
      <c r="P90" s="30" t="str">
        <f t="shared" ca="1" si="19"/>
        <v/>
      </c>
    </row>
    <row r="91" spans="1:16" s="49" customFormat="1" ht="20.25" customHeight="1" x14ac:dyDescent="0.2">
      <c r="A91" s="48"/>
      <c r="B91" s="47">
        <f t="shared" ca="1" si="25"/>
        <v>48818</v>
      </c>
      <c r="C91" s="47">
        <f t="shared" ca="1" si="17"/>
        <v>46322</v>
      </c>
      <c r="D91" s="48">
        <f t="shared" si="15"/>
        <v>8</v>
      </c>
      <c r="E91" s="48">
        <f t="shared" si="16"/>
        <v>2033</v>
      </c>
      <c r="F91" s="24">
        <v>48792</v>
      </c>
      <c r="G91" s="28" t="e">
        <f t="shared" si="24"/>
        <v>#REF!</v>
      </c>
      <c r="H91" s="28" t="str">
        <f ca="1">IF(B91&gt;C91,"",SUMIFS(#REF!,#REF!,D91,#REF!,E91,#REF!,"SIM")-SUMIFS(#REF!,#REF!,D91,#REF!,E91,#REF!,"SIM",#REF!,"EXTERIOR"))</f>
        <v/>
      </c>
      <c r="I91" s="28" t="e">
        <f t="shared" si="18"/>
        <v>#REF!</v>
      </c>
      <c r="J91" s="28" t="str">
        <f ca="1">IF(B91&gt;C91,"",IF(B91&gt;C91,0,SUMIFS(#REF!,#REF!,"&lt;"&amp;DATE(E92,D92,1),#REF!,"sim",#REF!,"&lt;&gt;"&amp;"EXTERIOR")))</f>
        <v/>
      </c>
      <c r="K91" s="28" t="e">
        <f t="shared" si="23"/>
        <v>#REF!</v>
      </c>
      <c r="L91" s="28" t="str">
        <f ca="1">IF(B91&gt;C91,"",SUMIFS(#REF!,#REF!,D91,#REF!,E91,#REF!,"INVESTIMENTO",#REF!,"SIM"))</f>
        <v/>
      </c>
      <c r="M91" s="28" t="e">
        <f t="shared" ca="1" si="20"/>
        <v>#REF!</v>
      </c>
      <c r="N91" s="28" t="str">
        <f t="shared" ca="1" si="21"/>
        <v/>
      </c>
      <c r="O91" s="29" t="str">
        <f t="shared" ca="1" si="22"/>
        <v/>
      </c>
      <c r="P91" s="30" t="str">
        <f t="shared" ca="1" si="19"/>
        <v/>
      </c>
    </row>
    <row r="92" spans="1:16" s="49" customFormat="1" ht="20.25" customHeight="1" x14ac:dyDescent="0.2">
      <c r="A92" s="48"/>
      <c r="B92" s="47">
        <f t="shared" ca="1" si="25"/>
        <v>48849</v>
      </c>
      <c r="C92" s="47">
        <f t="shared" ca="1" si="17"/>
        <v>46322</v>
      </c>
      <c r="D92" s="48">
        <f t="shared" si="15"/>
        <v>9</v>
      </c>
      <c r="E92" s="48">
        <f t="shared" si="16"/>
        <v>2033</v>
      </c>
      <c r="F92" s="24">
        <v>48823</v>
      </c>
      <c r="G92" s="28" t="e">
        <f t="shared" si="24"/>
        <v>#REF!</v>
      </c>
      <c r="H92" s="28" t="str">
        <f ca="1">IF(B92&gt;C92,"",SUMIFS(#REF!,#REF!,D92,#REF!,E92,#REF!,"SIM")-SUMIFS(#REF!,#REF!,D92,#REF!,E92,#REF!,"SIM",#REF!,"EXTERIOR"))</f>
        <v/>
      </c>
      <c r="I92" s="28" t="e">
        <f t="shared" si="18"/>
        <v>#REF!</v>
      </c>
      <c r="J92" s="28" t="str">
        <f ca="1">IF(B92&gt;C92,"",IF(B92&gt;C92,0,SUMIFS(#REF!,#REF!,"&lt;"&amp;DATE(E93,D93,1),#REF!,"sim",#REF!,"&lt;&gt;"&amp;"EXTERIOR")))</f>
        <v/>
      </c>
      <c r="K92" s="28" t="e">
        <f t="shared" si="23"/>
        <v>#REF!</v>
      </c>
      <c r="L92" s="28" t="str">
        <f ca="1">IF(B92&gt;C92,"",SUMIFS(#REF!,#REF!,D92,#REF!,E92,#REF!,"INVESTIMENTO",#REF!,"SIM"))</f>
        <v/>
      </c>
      <c r="M92" s="28" t="e">
        <f t="shared" ca="1" si="20"/>
        <v>#REF!</v>
      </c>
      <c r="N92" s="28" t="str">
        <f t="shared" ca="1" si="21"/>
        <v/>
      </c>
      <c r="O92" s="29" t="str">
        <f t="shared" ca="1" si="22"/>
        <v/>
      </c>
      <c r="P92" s="30" t="str">
        <f t="shared" ca="1" si="19"/>
        <v/>
      </c>
    </row>
    <row r="93" spans="1:16" s="49" customFormat="1" ht="20.25" customHeight="1" x14ac:dyDescent="0.2">
      <c r="A93" s="48"/>
      <c r="B93" s="47">
        <f t="shared" ca="1" si="25"/>
        <v>48879</v>
      </c>
      <c r="C93" s="47">
        <f t="shared" ca="1" si="17"/>
        <v>46322</v>
      </c>
      <c r="D93" s="48">
        <f t="shared" si="15"/>
        <v>10</v>
      </c>
      <c r="E93" s="48">
        <f t="shared" si="16"/>
        <v>2033</v>
      </c>
      <c r="F93" s="24">
        <v>48853</v>
      </c>
      <c r="G93" s="28" t="e">
        <f t="shared" si="24"/>
        <v>#REF!</v>
      </c>
      <c r="H93" s="28" t="str">
        <f ca="1">IF(B93&gt;C93,"",SUMIFS(#REF!,#REF!,D93,#REF!,E93,#REF!,"SIM")-SUMIFS(#REF!,#REF!,D93,#REF!,E93,#REF!,"SIM",#REF!,"EXTERIOR"))</f>
        <v/>
      </c>
      <c r="I93" s="28" t="e">
        <f t="shared" si="18"/>
        <v>#REF!</v>
      </c>
      <c r="J93" s="28" t="str">
        <f ca="1">IF(B93&gt;C93,"",IF(B93&gt;C93,0,SUMIFS(#REF!,#REF!,"&lt;"&amp;DATE(E94,D94,1),#REF!,"sim",#REF!,"&lt;&gt;"&amp;"EXTERIOR")))</f>
        <v/>
      </c>
      <c r="K93" s="28" t="e">
        <f t="shared" si="23"/>
        <v>#REF!</v>
      </c>
      <c r="L93" s="28" t="str">
        <f ca="1">IF(B93&gt;C93,"",SUMIFS(#REF!,#REF!,D93,#REF!,E93,#REF!,"INVESTIMENTO",#REF!,"SIM"))</f>
        <v/>
      </c>
      <c r="M93" s="28" t="e">
        <f t="shared" ca="1" si="20"/>
        <v>#REF!</v>
      </c>
      <c r="N93" s="28" t="str">
        <f t="shared" ca="1" si="21"/>
        <v/>
      </c>
      <c r="O93" s="29" t="str">
        <f t="shared" ca="1" si="22"/>
        <v/>
      </c>
      <c r="P93" s="30" t="str">
        <f t="shared" ca="1" si="19"/>
        <v/>
      </c>
    </row>
    <row r="94" spans="1:16" s="49" customFormat="1" ht="20.25" customHeight="1" x14ac:dyDescent="0.2">
      <c r="A94" s="48"/>
      <c r="B94" s="47">
        <f t="shared" ca="1" si="25"/>
        <v>48910</v>
      </c>
      <c r="C94" s="47">
        <f t="shared" ca="1" si="17"/>
        <v>46322</v>
      </c>
      <c r="D94" s="48">
        <f t="shared" si="15"/>
        <v>11</v>
      </c>
      <c r="E94" s="48">
        <f t="shared" si="16"/>
        <v>2033</v>
      </c>
      <c r="F94" s="24">
        <v>48884</v>
      </c>
      <c r="G94" s="28" t="e">
        <f t="shared" si="24"/>
        <v>#REF!</v>
      </c>
      <c r="H94" s="28" t="str">
        <f ca="1">IF(B94&gt;C94,"",SUMIFS(#REF!,#REF!,D94,#REF!,E94,#REF!,"SIM")-SUMIFS(#REF!,#REF!,D94,#REF!,E94,#REF!,"SIM",#REF!,"EXTERIOR"))</f>
        <v/>
      </c>
      <c r="I94" s="28" t="e">
        <f t="shared" si="18"/>
        <v>#REF!</v>
      </c>
      <c r="J94" s="28" t="str">
        <f ca="1">IF(B94&gt;C94,"",IF(B94&gt;C94,0,SUMIFS(#REF!,#REF!,"&lt;"&amp;DATE(E95,D95,1),#REF!,"sim",#REF!,"&lt;&gt;"&amp;"EXTERIOR")))</f>
        <v/>
      </c>
      <c r="K94" s="28" t="e">
        <f t="shared" si="23"/>
        <v>#REF!</v>
      </c>
      <c r="L94" s="28" t="str">
        <f ca="1">IF(B94&gt;C94,"",SUMIFS(#REF!,#REF!,D94,#REF!,E94,#REF!,"INVESTIMENTO",#REF!,"SIM"))</f>
        <v/>
      </c>
      <c r="M94" s="28" t="e">
        <f t="shared" ca="1" si="20"/>
        <v>#REF!</v>
      </c>
      <c r="N94" s="28" t="str">
        <f t="shared" ca="1" si="21"/>
        <v/>
      </c>
      <c r="O94" s="29" t="str">
        <f t="shared" ca="1" si="22"/>
        <v/>
      </c>
      <c r="P94" s="30" t="str">
        <f t="shared" ca="1" si="19"/>
        <v/>
      </c>
    </row>
    <row r="95" spans="1:16" s="49" customFormat="1" ht="20.25" customHeight="1" x14ac:dyDescent="0.2">
      <c r="A95" s="48"/>
      <c r="B95" s="47">
        <f t="shared" ca="1" si="25"/>
        <v>48940</v>
      </c>
      <c r="C95" s="47">
        <f t="shared" ca="1" si="17"/>
        <v>46322</v>
      </c>
      <c r="D95" s="48">
        <f t="shared" si="15"/>
        <v>12</v>
      </c>
      <c r="E95" s="48">
        <f t="shared" si="16"/>
        <v>2033</v>
      </c>
      <c r="F95" s="24">
        <v>48914</v>
      </c>
      <c r="G95" s="28" t="e">
        <f t="shared" si="24"/>
        <v>#REF!</v>
      </c>
      <c r="H95" s="28" t="str">
        <f ca="1">IF(B95&gt;C95,"",SUMIFS(#REF!,#REF!,D95,#REF!,E95,#REF!,"SIM")-SUMIFS(#REF!,#REF!,D95,#REF!,E95,#REF!,"SIM",#REF!,"EXTERIOR"))</f>
        <v/>
      </c>
      <c r="I95" s="28" t="e">
        <f t="shared" si="18"/>
        <v>#REF!</v>
      </c>
      <c r="J95" s="28" t="str">
        <f ca="1">IF(B95&gt;C95,"",IF(B95&gt;C95,0,SUMIFS(#REF!,#REF!,"&lt;"&amp;DATE(E96,D96,1),#REF!,"sim",#REF!,"&lt;&gt;"&amp;"EXTERIOR")))</f>
        <v/>
      </c>
      <c r="K95" s="28" t="e">
        <f t="shared" si="23"/>
        <v>#REF!</v>
      </c>
      <c r="L95" s="28" t="str">
        <f ca="1">IF(B95&gt;C95,"",SUMIFS(#REF!,#REF!,D95,#REF!,E95,#REF!,"INVESTIMENTO",#REF!,"SIM"))</f>
        <v/>
      </c>
      <c r="M95" s="28" t="e">
        <f t="shared" ca="1" si="20"/>
        <v>#REF!</v>
      </c>
      <c r="N95" s="28" t="str">
        <f t="shared" ca="1" si="21"/>
        <v/>
      </c>
      <c r="O95" s="29" t="str">
        <f t="shared" ca="1" si="22"/>
        <v/>
      </c>
      <c r="P95" s="30" t="str">
        <f t="shared" ca="1" si="19"/>
        <v/>
      </c>
    </row>
    <row r="96" spans="1:16" s="49" customFormat="1" ht="20.25" customHeight="1" x14ac:dyDescent="0.2">
      <c r="A96" s="48"/>
      <c r="B96" s="47">
        <f t="shared" ca="1" si="25"/>
        <v>48971</v>
      </c>
      <c r="C96" s="47">
        <f t="shared" ca="1" si="17"/>
        <v>46322</v>
      </c>
      <c r="D96" s="48">
        <f t="shared" si="15"/>
        <v>1</v>
      </c>
      <c r="E96" s="48">
        <f t="shared" si="16"/>
        <v>2034</v>
      </c>
      <c r="F96" s="24">
        <v>48945</v>
      </c>
      <c r="G96" s="28" t="e">
        <f t="shared" si="24"/>
        <v>#REF!</v>
      </c>
      <c r="H96" s="28" t="str">
        <f ca="1">IF(B96&gt;C96,"",SUMIFS(#REF!,#REF!,D96,#REF!,E96,#REF!,"SIM")-SUMIFS(#REF!,#REF!,D96,#REF!,E96,#REF!,"SIM",#REF!,"EXTERIOR"))</f>
        <v/>
      </c>
      <c r="I96" s="28" t="e">
        <f t="shared" si="18"/>
        <v>#REF!</v>
      </c>
      <c r="J96" s="28" t="str">
        <f ca="1">IF(B96&gt;C96,"",IF(B96&gt;C96,0,SUMIFS(#REF!,#REF!,"&lt;"&amp;DATE(E97,D97,1),#REF!,"sim",#REF!,"&lt;&gt;"&amp;"EXTERIOR")))</f>
        <v/>
      </c>
      <c r="K96" s="28" t="e">
        <f t="shared" si="23"/>
        <v>#REF!</v>
      </c>
      <c r="L96" s="28" t="str">
        <f ca="1">IF(B96&gt;C96,"",SUMIFS(#REF!,#REF!,D96,#REF!,E96,#REF!,"INVESTIMENTO",#REF!,"SIM"))</f>
        <v/>
      </c>
      <c r="M96" s="28" t="e">
        <f t="shared" ca="1" si="20"/>
        <v>#REF!</v>
      </c>
      <c r="N96" s="28" t="str">
        <f t="shared" ca="1" si="21"/>
        <v/>
      </c>
      <c r="O96" s="29" t="str">
        <f t="shared" ca="1" si="22"/>
        <v/>
      </c>
      <c r="P96" s="30" t="str">
        <f t="shared" ca="1" si="19"/>
        <v/>
      </c>
    </row>
    <row r="97" spans="1:16" s="49" customFormat="1" ht="20.25" customHeight="1" x14ac:dyDescent="0.2">
      <c r="A97" s="48"/>
      <c r="B97" s="47">
        <f t="shared" ca="1" si="25"/>
        <v>49002</v>
      </c>
      <c r="C97" s="47">
        <f t="shared" ca="1" si="17"/>
        <v>46322</v>
      </c>
      <c r="D97" s="48">
        <f t="shared" si="15"/>
        <v>2</v>
      </c>
      <c r="E97" s="48">
        <f t="shared" si="16"/>
        <v>2034</v>
      </c>
      <c r="F97" s="24">
        <v>48976</v>
      </c>
      <c r="G97" s="28" t="e">
        <f t="shared" si="24"/>
        <v>#REF!</v>
      </c>
      <c r="H97" s="28" t="str">
        <f ca="1">IF(B97&gt;C97,"",SUMIFS(#REF!,#REF!,D97,#REF!,E97,#REF!,"SIM")-SUMIFS(#REF!,#REF!,D97,#REF!,E97,#REF!,"SIM",#REF!,"EXTERIOR"))</f>
        <v/>
      </c>
      <c r="I97" s="28" t="e">
        <f t="shared" si="18"/>
        <v>#REF!</v>
      </c>
      <c r="J97" s="28" t="str">
        <f ca="1">IF(B97&gt;C97,"",IF(B97&gt;C97,0,SUMIFS(#REF!,#REF!,"&lt;"&amp;DATE(E98,D98,1),#REF!,"sim",#REF!,"&lt;&gt;"&amp;"EXTERIOR")))</f>
        <v/>
      </c>
      <c r="K97" s="28" t="e">
        <f t="shared" si="23"/>
        <v>#REF!</v>
      </c>
      <c r="L97" s="28" t="str">
        <f ca="1">IF(B97&gt;C97,"",SUMIFS(#REF!,#REF!,D97,#REF!,E97,#REF!,"INVESTIMENTO",#REF!,"SIM"))</f>
        <v/>
      </c>
      <c r="M97" s="28" t="e">
        <f t="shared" ca="1" si="20"/>
        <v>#REF!</v>
      </c>
      <c r="N97" s="28" t="str">
        <f t="shared" ca="1" si="21"/>
        <v/>
      </c>
      <c r="O97" s="29" t="str">
        <f t="shared" ca="1" si="22"/>
        <v/>
      </c>
      <c r="P97" s="30" t="str">
        <f t="shared" ca="1" si="19"/>
        <v/>
      </c>
    </row>
    <row r="98" spans="1:16" s="49" customFormat="1" ht="20.25" customHeight="1" x14ac:dyDescent="0.2">
      <c r="A98" s="48"/>
      <c r="B98" s="47">
        <f t="shared" ca="1" si="25"/>
        <v>49030</v>
      </c>
      <c r="C98" s="47">
        <f t="shared" ca="1" si="17"/>
        <v>46322</v>
      </c>
      <c r="D98" s="48">
        <f t="shared" si="15"/>
        <v>3</v>
      </c>
      <c r="E98" s="48">
        <f t="shared" si="16"/>
        <v>2034</v>
      </c>
      <c r="F98" s="24">
        <v>49004</v>
      </c>
      <c r="G98" s="28" t="e">
        <f t="shared" si="24"/>
        <v>#REF!</v>
      </c>
      <c r="H98" s="28" t="str">
        <f ca="1">IF(B98&gt;C98,"",SUMIFS(#REF!,#REF!,D98,#REF!,E98,#REF!,"SIM")-SUMIFS(#REF!,#REF!,D98,#REF!,E98,#REF!,"SIM",#REF!,"EXTERIOR"))</f>
        <v/>
      </c>
      <c r="I98" s="28" t="e">
        <f t="shared" si="18"/>
        <v>#REF!</v>
      </c>
      <c r="J98" s="28" t="str">
        <f ca="1">IF(B98&gt;C98,"",IF(B98&gt;C98,0,SUMIFS(#REF!,#REF!,"&lt;"&amp;DATE(E99,D99,1),#REF!,"sim",#REF!,"&lt;&gt;"&amp;"EXTERIOR")))</f>
        <v/>
      </c>
      <c r="K98" s="28" t="e">
        <f t="shared" si="23"/>
        <v>#REF!</v>
      </c>
      <c r="L98" s="28" t="str">
        <f ca="1">IF(B98&gt;C98,"",SUMIFS(#REF!,#REF!,D98,#REF!,E98,#REF!,"INVESTIMENTO",#REF!,"SIM"))</f>
        <v/>
      </c>
      <c r="M98" s="28" t="e">
        <f t="shared" ca="1" si="20"/>
        <v>#REF!</v>
      </c>
      <c r="N98" s="28" t="str">
        <f t="shared" ca="1" si="21"/>
        <v/>
      </c>
      <c r="O98" s="29" t="str">
        <f t="shared" ca="1" si="22"/>
        <v/>
      </c>
      <c r="P98" s="30" t="str">
        <f t="shared" ca="1" si="19"/>
        <v/>
      </c>
    </row>
    <row r="99" spans="1:16" s="49" customFormat="1" ht="20.25" customHeight="1" x14ac:dyDescent="0.2">
      <c r="A99" s="48"/>
      <c r="B99" s="47">
        <f t="shared" ca="1" si="25"/>
        <v>49061</v>
      </c>
      <c r="C99" s="47">
        <f t="shared" ca="1" si="17"/>
        <v>46322</v>
      </c>
      <c r="D99" s="48">
        <f t="shared" si="15"/>
        <v>4</v>
      </c>
      <c r="E99" s="48">
        <f t="shared" si="16"/>
        <v>2034</v>
      </c>
      <c r="F99" s="24">
        <v>49035</v>
      </c>
      <c r="G99" s="28" t="e">
        <f t="shared" si="24"/>
        <v>#REF!</v>
      </c>
      <c r="H99" s="28" t="str">
        <f ca="1">IF(B99&gt;C99,"",SUMIFS(#REF!,#REF!,D99,#REF!,E99,#REF!,"SIM")-SUMIFS(#REF!,#REF!,D99,#REF!,E99,#REF!,"SIM",#REF!,"EXTERIOR"))</f>
        <v/>
      </c>
      <c r="I99" s="28" t="e">
        <f t="shared" si="18"/>
        <v>#REF!</v>
      </c>
      <c r="J99" s="28" t="str">
        <f ca="1">IF(B99&gt;C99,"",IF(B99&gt;C99,0,SUMIFS(#REF!,#REF!,"&lt;"&amp;DATE(E100,D100,1),#REF!,"sim",#REF!,"&lt;&gt;"&amp;"EXTERIOR")))</f>
        <v/>
      </c>
      <c r="K99" s="28" t="e">
        <f t="shared" si="23"/>
        <v>#REF!</v>
      </c>
      <c r="L99" s="28" t="str">
        <f ca="1">IF(B99&gt;C99,"",SUMIFS(#REF!,#REF!,D99,#REF!,E99,#REF!,"INVESTIMENTO",#REF!,"SIM"))</f>
        <v/>
      </c>
      <c r="M99" s="28" t="e">
        <f t="shared" ca="1" si="20"/>
        <v>#REF!</v>
      </c>
      <c r="N99" s="28" t="str">
        <f t="shared" ca="1" si="21"/>
        <v/>
      </c>
      <c r="O99" s="29" t="str">
        <f t="shared" ca="1" si="22"/>
        <v/>
      </c>
      <c r="P99" s="30" t="str">
        <f t="shared" ca="1" si="19"/>
        <v/>
      </c>
    </row>
    <row r="100" spans="1:16" s="49" customFormat="1" ht="20.25" customHeight="1" x14ac:dyDescent="0.2">
      <c r="A100" s="48"/>
      <c r="B100" s="47">
        <f t="shared" ca="1" si="25"/>
        <v>49091</v>
      </c>
      <c r="C100" s="47">
        <f t="shared" ca="1" si="17"/>
        <v>46322</v>
      </c>
      <c r="D100" s="48">
        <f t="shared" si="15"/>
        <v>5</v>
      </c>
      <c r="E100" s="48">
        <f t="shared" si="16"/>
        <v>2034</v>
      </c>
      <c r="F100" s="24">
        <v>49065</v>
      </c>
      <c r="G100" s="28" t="e">
        <f t="shared" si="24"/>
        <v>#REF!</v>
      </c>
      <c r="H100" s="28" t="str">
        <f ca="1">IF(B100&gt;C100,"",SUMIFS(#REF!,#REF!,D100,#REF!,E100,#REF!,"SIM")-SUMIFS(#REF!,#REF!,D100,#REF!,E100,#REF!,"SIM",#REF!,"EXTERIOR"))</f>
        <v/>
      </c>
      <c r="I100" s="28" t="e">
        <f t="shared" si="18"/>
        <v>#REF!</v>
      </c>
      <c r="J100" s="28" t="str">
        <f ca="1">IF(B100&gt;C100,"",IF(B100&gt;C100,0,SUMIFS(#REF!,#REF!,"&lt;"&amp;DATE(E101,D101,1),#REF!,"sim",#REF!,"&lt;&gt;"&amp;"EXTERIOR")))</f>
        <v/>
      </c>
      <c r="K100" s="28" t="e">
        <f t="shared" si="23"/>
        <v>#REF!</v>
      </c>
      <c r="L100" s="28" t="str">
        <f ca="1">IF(B100&gt;C100,"",SUMIFS(#REF!,#REF!,D100,#REF!,E100,#REF!,"INVESTIMENTO",#REF!,"SIM"))</f>
        <v/>
      </c>
      <c r="M100" s="28" t="e">
        <f t="shared" ca="1" si="20"/>
        <v>#REF!</v>
      </c>
      <c r="N100" s="28" t="str">
        <f t="shared" ca="1" si="21"/>
        <v/>
      </c>
      <c r="O100" s="29" t="str">
        <f t="shared" ca="1" si="22"/>
        <v/>
      </c>
      <c r="P100" s="30" t="str">
        <f t="shared" ca="1" si="19"/>
        <v/>
      </c>
    </row>
    <row r="101" spans="1:16" s="49" customFormat="1" ht="20.25" customHeight="1" x14ac:dyDescent="0.2">
      <c r="A101" s="48"/>
      <c r="B101" s="47">
        <f t="shared" ca="1" si="25"/>
        <v>49122</v>
      </c>
      <c r="C101" s="47">
        <f t="shared" ca="1" si="17"/>
        <v>46322</v>
      </c>
      <c r="D101" s="48">
        <f t="shared" si="15"/>
        <v>6</v>
      </c>
      <c r="E101" s="48">
        <f t="shared" si="16"/>
        <v>2034</v>
      </c>
      <c r="F101" s="24">
        <v>49096</v>
      </c>
      <c r="G101" s="28" t="e">
        <f t="shared" si="24"/>
        <v>#REF!</v>
      </c>
      <c r="H101" s="28" t="str">
        <f ca="1">IF(B101&gt;C101,"",SUMIFS(#REF!,#REF!,D101,#REF!,E101,#REF!,"SIM")-SUMIFS(#REF!,#REF!,D101,#REF!,E101,#REF!,"SIM",#REF!,"EXTERIOR"))</f>
        <v/>
      </c>
      <c r="I101" s="28" t="e">
        <f t="shared" si="18"/>
        <v>#REF!</v>
      </c>
      <c r="J101" s="28" t="str">
        <f ca="1">IF(B101&gt;C101,"",IF(B101&gt;C101,0,SUMIFS(#REF!,#REF!,"&lt;"&amp;DATE(E102,D102,1),#REF!,"sim",#REF!,"&lt;&gt;"&amp;"EXTERIOR")))</f>
        <v/>
      </c>
      <c r="K101" s="28" t="e">
        <f t="shared" si="23"/>
        <v>#REF!</v>
      </c>
      <c r="L101" s="28" t="str">
        <f ca="1">IF(B101&gt;C101,"",SUMIFS(#REF!,#REF!,D101,#REF!,E101,#REF!,"INVESTIMENTO",#REF!,"SIM"))</f>
        <v/>
      </c>
      <c r="M101" s="28" t="e">
        <f t="shared" ca="1" si="20"/>
        <v>#REF!</v>
      </c>
      <c r="N101" s="28" t="str">
        <f t="shared" ca="1" si="21"/>
        <v/>
      </c>
      <c r="O101" s="29" t="str">
        <f t="shared" ca="1" si="22"/>
        <v/>
      </c>
      <c r="P101" s="30" t="str">
        <f t="shared" ca="1" si="19"/>
        <v/>
      </c>
    </row>
    <row r="102" spans="1:16" s="49" customFormat="1" ht="20.25" customHeight="1" x14ac:dyDescent="0.2">
      <c r="A102" s="48"/>
      <c r="B102" s="47">
        <f t="shared" ca="1" si="25"/>
        <v>49152</v>
      </c>
      <c r="C102" s="47">
        <f t="shared" ca="1" si="17"/>
        <v>46322</v>
      </c>
      <c r="D102" s="48">
        <f t="shared" si="15"/>
        <v>7</v>
      </c>
      <c r="E102" s="48">
        <f t="shared" si="16"/>
        <v>2034</v>
      </c>
      <c r="F102" s="24">
        <v>49126</v>
      </c>
      <c r="G102" s="28" t="e">
        <f t="shared" si="24"/>
        <v>#REF!</v>
      </c>
      <c r="H102" s="28" t="str">
        <f ca="1">IF(B102&gt;C102,"",SUMIFS(#REF!,#REF!,D102,#REF!,E102,#REF!,"SIM")-SUMIFS(#REF!,#REF!,D102,#REF!,E102,#REF!,"SIM",#REF!,"EXTERIOR"))</f>
        <v/>
      </c>
      <c r="I102" s="28" t="e">
        <f t="shared" si="18"/>
        <v>#REF!</v>
      </c>
      <c r="J102" s="28" t="str">
        <f ca="1">IF(B102&gt;C102,"",IF(B102&gt;C102,0,SUMIFS(#REF!,#REF!,"&lt;"&amp;DATE(E103,D103,1),#REF!,"sim",#REF!,"&lt;&gt;"&amp;"EXTERIOR")))</f>
        <v/>
      </c>
      <c r="K102" s="28" t="e">
        <f t="shared" si="23"/>
        <v>#REF!</v>
      </c>
      <c r="L102" s="28" t="str">
        <f ca="1">IF(B102&gt;C102,"",SUMIFS(#REF!,#REF!,D102,#REF!,E102,#REF!,"INVESTIMENTO",#REF!,"SIM"))</f>
        <v/>
      </c>
      <c r="M102" s="28" t="e">
        <f t="shared" ca="1" si="20"/>
        <v>#REF!</v>
      </c>
      <c r="N102" s="28" t="str">
        <f t="shared" ca="1" si="21"/>
        <v/>
      </c>
      <c r="O102" s="29" t="str">
        <f t="shared" ca="1" si="22"/>
        <v/>
      </c>
      <c r="P102" s="30" t="str">
        <f t="shared" ca="1" si="19"/>
        <v/>
      </c>
    </row>
    <row r="103" spans="1:16" s="49" customFormat="1" ht="20.25" customHeight="1" x14ac:dyDescent="0.2">
      <c r="A103" s="48"/>
      <c r="B103" s="47">
        <f t="shared" ca="1" si="25"/>
        <v>49183</v>
      </c>
      <c r="C103" s="47">
        <f t="shared" ca="1" si="17"/>
        <v>46322</v>
      </c>
      <c r="D103" s="48">
        <f t="shared" si="15"/>
        <v>8</v>
      </c>
      <c r="E103" s="48">
        <f t="shared" si="16"/>
        <v>2034</v>
      </c>
      <c r="F103" s="24">
        <v>49157</v>
      </c>
      <c r="G103" s="28" t="e">
        <f t="shared" si="24"/>
        <v>#REF!</v>
      </c>
      <c r="H103" s="28" t="str">
        <f ca="1">IF(B103&gt;C103,"",SUMIFS(#REF!,#REF!,D103,#REF!,E103,#REF!,"SIM")-SUMIFS(#REF!,#REF!,D103,#REF!,E103,#REF!,"SIM",#REF!,"EXTERIOR"))</f>
        <v/>
      </c>
      <c r="I103" s="28" t="e">
        <f t="shared" si="18"/>
        <v>#REF!</v>
      </c>
      <c r="J103" s="28" t="str">
        <f ca="1">IF(B103&gt;C103,"",IF(B103&gt;C103,0,SUMIFS(#REF!,#REF!,"&lt;"&amp;DATE(E104,D104,1),#REF!,"sim",#REF!,"&lt;&gt;"&amp;"EXTERIOR")))</f>
        <v/>
      </c>
      <c r="K103" s="28" t="e">
        <f t="shared" si="23"/>
        <v>#REF!</v>
      </c>
      <c r="L103" s="28" t="str">
        <f ca="1">IF(B103&gt;C103,"",SUMIFS(#REF!,#REF!,D103,#REF!,E103,#REF!,"INVESTIMENTO",#REF!,"SIM"))</f>
        <v/>
      </c>
      <c r="M103" s="28" t="e">
        <f t="shared" ca="1" si="20"/>
        <v>#REF!</v>
      </c>
      <c r="N103" s="28" t="str">
        <f t="shared" ca="1" si="21"/>
        <v/>
      </c>
      <c r="O103" s="29" t="str">
        <f t="shared" ca="1" si="22"/>
        <v/>
      </c>
      <c r="P103" s="30" t="str">
        <f t="shared" ca="1" si="19"/>
        <v/>
      </c>
    </row>
    <row r="104" spans="1:16" s="49" customFormat="1" ht="20.25" customHeight="1" x14ac:dyDescent="0.2">
      <c r="A104" s="48"/>
      <c r="B104" s="47">
        <f t="shared" ca="1" si="25"/>
        <v>49214</v>
      </c>
      <c r="C104" s="47">
        <f t="shared" ca="1" si="17"/>
        <v>46322</v>
      </c>
      <c r="D104" s="48">
        <f t="shared" si="15"/>
        <v>9</v>
      </c>
      <c r="E104" s="48">
        <f t="shared" si="16"/>
        <v>2034</v>
      </c>
      <c r="F104" s="24">
        <v>49188</v>
      </c>
      <c r="G104" s="28" t="e">
        <f t="shared" si="24"/>
        <v>#REF!</v>
      </c>
      <c r="H104" s="28" t="str">
        <f ca="1">IF(B104&gt;C104,"",SUMIFS(#REF!,#REF!,D104,#REF!,E104,#REF!,"SIM")-SUMIFS(#REF!,#REF!,D104,#REF!,E104,#REF!,"SIM",#REF!,"EXTERIOR"))</f>
        <v/>
      </c>
      <c r="I104" s="28" t="e">
        <f t="shared" si="18"/>
        <v>#REF!</v>
      </c>
      <c r="J104" s="28" t="str">
        <f ca="1">IF(B104&gt;C104,"",IF(B104&gt;C104,0,SUMIFS(#REF!,#REF!,"&lt;"&amp;DATE(E105,D105,1),#REF!,"sim",#REF!,"&lt;&gt;"&amp;"EXTERIOR")))</f>
        <v/>
      </c>
      <c r="K104" s="28" t="e">
        <f t="shared" si="23"/>
        <v>#REF!</v>
      </c>
      <c r="L104" s="28" t="str">
        <f ca="1">IF(B104&gt;C104,"",SUMIFS(#REF!,#REF!,D104,#REF!,E104,#REF!,"INVESTIMENTO",#REF!,"SIM"))</f>
        <v/>
      </c>
      <c r="M104" s="28" t="e">
        <f t="shared" ca="1" si="20"/>
        <v>#REF!</v>
      </c>
      <c r="N104" s="28" t="str">
        <f t="shared" ca="1" si="21"/>
        <v/>
      </c>
      <c r="O104" s="29" t="str">
        <f t="shared" ca="1" si="22"/>
        <v/>
      </c>
      <c r="P104" s="30" t="str">
        <f t="shared" ca="1" si="19"/>
        <v/>
      </c>
    </row>
    <row r="105" spans="1:16" s="49" customFormat="1" ht="20.25" customHeight="1" x14ac:dyDescent="0.2">
      <c r="A105" s="48"/>
      <c r="B105" s="47">
        <f t="shared" ca="1" si="25"/>
        <v>49244</v>
      </c>
      <c r="C105" s="47">
        <f t="shared" ca="1" si="17"/>
        <v>46322</v>
      </c>
      <c r="D105" s="48">
        <f t="shared" ref="D105:D136" si="26">MONTH(F105)</f>
        <v>10</v>
      </c>
      <c r="E105" s="48">
        <f t="shared" si="16"/>
        <v>2034</v>
      </c>
      <c r="F105" s="24">
        <v>49218</v>
      </c>
      <c r="G105" s="28" t="e">
        <f t="shared" si="24"/>
        <v>#REF!</v>
      </c>
      <c r="H105" s="28" t="str">
        <f ca="1">IF(B105&gt;C105,"",SUMIFS(#REF!,#REF!,D105,#REF!,E105,#REF!,"SIM")-SUMIFS(#REF!,#REF!,D105,#REF!,E105,#REF!,"SIM",#REF!,"EXTERIOR"))</f>
        <v/>
      </c>
      <c r="I105" s="28" t="e">
        <f t="shared" si="18"/>
        <v>#REF!</v>
      </c>
      <c r="J105" s="28" t="str">
        <f ca="1">IF(B105&gt;C105,"",IF(B105&gt;C105,0,SUMIFS(#REF!,#REF!,"&lt;"&amp;DATE(E106,D106,1),#REF!,"sim",#REF!,"&lt;&gt;"&amp;"EXTERIOR")))</f>
        <v/>
      </c>
      <c r="K105" s="28" t="e">
        <f t="shared" si="23"/>
        <v>#REF!</v>
      </c>
      <c r="L105" s="28" t="str">
        <f ca="1">IF(B105&gt;C105,"",SUMIFS(#REF!,#REF!,D105,#REF!,E105,#REF!,"INVESTIMENTO",#REF!,"SIM"))</f>
        <v/>
      </c>
      <c r="M105" s="28" t="e">
        <f t="shared" ca="1" si="20"/>
        <v>#REF!</v>
      </c>
      <c r="N105" s="28" t="str">
        <f t="shared" ca="1" si="21"/>
        <v/>
      </c>
      <c r="O105" s="29" t="str">
        <f t="shared" ca="1" si="22"/>
        <v/>
      </c>
      <c r="P105" s="30" t="str">
        <f t="shared" ca="1" si="19"/>
        <v/>
      </c>
    </row>
    <row r="106" spans="1:16" s="49" customFormat="1" ht="20.25" customHeight="1" x14ac:dyDescent="0.2">
      <c r="A106" s="48"/>
      <c r="B106" s="47">
        <f t="shared" ca="1" si="25"/>
        <v>49275</v>
      </c>
      <c r="C106" s="47">
        <f t="shared" ca="1" si="17"/>
        <v>46322</v>
      </c>
      <c r="D106" s="48">
        <f t="shared" si="26"/>
        <v>11</v>
      </c>
      <c r="E106" s="48">
        <f t="shared" si="16"/>
        <v>2034</v>
      </c>
      <c r="F106" s="24">
        <v>49249</v>
      </c>
      <c r="G106" s="28" t="e">
        <f t="shared" si="24"/>
        <v>#REF!</v>
      </c>
      <c r="H106" s="28" t="str">
        <f ca="1">IF(B106&gt;C106,"",SUMIFS(#REF!,#REF!,D106,#REF!,E106,#REF!,"SIM")-SUMIFS(#REF!,#REF!,D106,#REF!,E106,#REF!,"SIM",#REF!,"EXTERIOR"))</f>
        <v/>
      </c>
      <c r="I106" s="28" t="e">
        <f t="shared" ref="I106:I137" si="27">G106+I105</f>
        <v>#REF!</v>
      </c>
      <c r="J106" s="28" t="str">
        <f ca="1">IF(B106&gt;C106,"",IF(B106&gt;C106,0,SUMIFS(#REF!,#REF!,"&lt;"&amp;DATE(E107,D107,1),#REF!,"sim",#REF!,"&lt;&gt;"&amp;"EXTERIOR")))</f>
        <v/>
      </c>
      <c r="K106" s="28" t="e">
        <f t="shared" si="23"/>
        <v>#REF!</v>
      </c>
      <c r="L106" s="28" t="str">
        <f ca="1">IF(B106&gt;C106,"",SUMIFS(#REF!,#REF!,D106,#REF!,E106,#REF!,"INVESTIMENTO",#REF!,"SIM"))</f>
        <v/>
      </c>
      <c r="M106" s="28" t="e">
        <f t="shared" ca="1" si="20"/>
        <v>#REF!</v>
      </c>
      <c r="N106" s="28" t="str">
        <f t="shared" ca="1" si="21"/>
        <v/>
      </c>
      <c r="O106" s="29" t="str">
        <f t="shared" ca="1" si="22"/>
        <v/>
      </c>
      <c r="P106" s="30" t="str">
        <f t="shared" ca="1" si="19"/>
        <v/>
      </c>
    </row>
    <row r="107" spans="1:16" s="49" customFormat="1" ht="20.25" customHeight="1" x14ac:dyDescent="0.2">
      <c r="A107" s="48"/>
      <c r="B107" s="47">
        <f t="shared" ca="1" si="25"/>
        <v>49305</v>
      </c>
      <c r="C107" s="47">
        <f t="shared" ca="1" si="17"/>
        <v>46322</v>
      </c>
      <c r="D107" s="48">
        <f t="shared" si="26"/>
        <v>12</v>
      </c>
      <c r="E107" s="48">
        <f t="shared" si="16"/>
        <v>2034</v>
      </c>
      <c r="F107" s="24">
        <v>49279</v>
      </c>
      <c r="G107" s="28" t="e">
        <f t="shared" si="24"/>
        <v>#REF!</v>
      </c>
      <c r="H107" s="28" t="str">
        <f ca="1">IF(B107&gt;C107,"",SUMIFS(#REF!,#REF!,D107,#REF!,E107,#REF!,"SIM")-SUMIFS(#REF!,#REF!,D107,#REF!,E107,#REF!,"SIM",#REF!,"EXTERIOR"))</f>
        <v/>
      </c>
      <c r="I107" s="28" t="e">
        <f t="shared" si="27"/>
        <v>#REF!</v>
      </c>
      <c r="J107" s="28" t="str">
        <f ca="1">IF(B107&gt;C107,"",IF(B107&gt;C107,0,SUMIFS(#REF!,#REF!,"&lt;"&amp;DATE(E108,D108,1),#REF!,"sim",#REF!,"&lt;&gt;"&amp;"EXTERIOR")))</f>
        <v/>
      </c>
      <c r="K107" s="28" t="e">
        <f t="shared" si="23"/>
        <v>#REF!</v>
      </c>
      <c r="L107" s="28" t="str">
        <f ca="1">IF(B107&gt;C107,"",SUMIFS(#REF!,#REF!,D107,#REF!,E107,#REF!,"INVESTIMENTO",#REF!,"SIM"))</f>
        <v/>
      </c>
      <c r="M107" s="28" t="e">
        <f t="shared" ca="1" si="20"/>
        <v>#REF!</v>
      </c>
      <c r="N107" s="28" t="str">
        <f t="shared" ca="1" si="21"/>
        <v/>
      </c>
      <c r="O107" s="29" t="str">
        <f t="shared" ca="1" si="22"/>
        <v/>
      </c>
      <c r="P107" s="30" t="str">
        <f t="shared" ca="1" si="19"/>
        <v/>
      </c>
    </row>
    <row r="108" spans="1:16" s="49" customFormat="1" ht="20.25" customHeight="1" x14ac:dyDescent="0.2">
      <c r="A108" s="48"/>
      <c r="B108" s="47">
        <f t="shared" ca="1" si="25"/>
        <v>49336</v>
      </c>
      <c r="C108" s="47">
        <f t="shared" ca="1" si="17"/>
        <v>46322</v>
      </c>
      <c r="D108" s="48">
        <f t="shared" si="26"/>
        <v>1</v>
      </c>
      <c r="E108" s="48">
        <f t="shared" si="16"/>
        <v>2035</v>
      </c>
      <c r="F108" s="24">
        <v>49310</v>
      </c>
      <c r="G108" s="28" t="e">
        <f t="shared" si="24"/>
        <v>#REF!</v>
      </c>
      <c r="H108" s="28" t="str">
        <f ca="1">IF(B108&gt;C108,"",SUMIFS(#REF!,#REF!,D108,#REF!,E108,#REF!,"SIM")-SUMIFS(#REF!,#REF!,D108,#REF!,E108,#REF!,"SIM",#REF!,"EXTERIOR"))</f>
        <v/>
      </c>
      <c r="I108" s="28" t="e">
        <f t="shared" si="27"/>
        <v>#REF!</v>
      </c>
      <c r="J108" s="28" t="str">
        <f ca="1">IF(B108&gt;C108,"",IF(B108&gt;C108,0,SUMIFS(#REF!,#REF!,"&lt;"&amp;DATE(E109,D109,1),#REF!,"sim",#REF!,"&lt;&gt;"&amp;"EXTERIOR")))</f>
        <v/>
      </c>
      <c r="K108" s="28" t="e">
        <f t="shared" si="23"/>
        <v>#REF!</v>
      </c>
      <c r="L108" s="28" t="str">
        <f ca="1">IF(B108&gt;C108,"",SUMIFS(#REF!,#REF!,D108,#REF!,E108,#REF!,"INVESTIMENTO",#REF!,"SIM"))</f>
        <v/>
      </c>
      <c r="M108" s="28" t="e">
        <f t="shared" ca="1" si="20"/>
        <v>#REF!</v>
      </c>
      <c r="N108" s="28" t="str">
        <f t="shared" ca="1" si="21"/>
        <v/>
      </c>
      <c r="O108" s="29" t="str">
        <f t="shared" ca="1" si="22"/>
        <v/>
      </c>
      <c r="P108" s="30" t="str">
        <f t="shared" ca="1" si="19"/>
        <v/>
      </c>
    </row>
    <row r="109" spans="1:16" s="49" customFormat="1" ht="20.25" customHeight="1" x14ac:dyDescent="0.2">
      <c r="A109" s="48"/>
      <c r="B109" s="47">
        <f t="shared" ca="1" si="25"/>
        <v>49367</v>
      </c>
      <c r="C109" s="47">
        <f t="shared" ca="1" si="17"/>
        <v>46322</v>
      </c>
      <c r="D109" s="48">
        <f t="shared" si="26"/>
        <v>2</v>
      </c>
      <c r="E109" s="48">
        <f t="shared" si="16"/>
        <v>2035</v>
      </c>
      <c r="F109" s="24">
        <v>49341</v>
      </c>
      <c r="G109" s="28" t="e">
        <f t="shared" si="24"/>
        <v>#REF!</v>
      </c>
      <c r="H109" s="28" t="str">
        <f ca="1">IF(B109&gt;C109,"",SUMIFS(#REF!,#REF!,D109,#REF!,E109,#REF!,"SIM")-SUMIFS(#REF!,#REF!,D109,#REF!,E109,#REF!,"SIM",#REF!,"EXTERIOR"))</f>
        <v/>
      </c>
      <c r="I109" s="28" t="e">
        <f t="shared" si="27"/>
        <v>#REF!</v>
      </c>
      <c r="J109" s="28" t="str">
        <f ca="1">IF(B109&gt;C109,"",IF(B109&gt;C109,0,SUMIFS(#REF!,#REF!,"&lt;"&amp;DATE(E110,D110,1),#REF!,"sim",#REF!,"&lt;&gt;"&amp;"EXTERIOR")))</f>
        <v/>
      </c>
      <c r="K109" s="28" t="e">
        <f t="shared" ref="K109:K140" si="28">I108*$M$3</f>
        <v>#REF!</v>
      </c>
      <c r="L109" s="28" t="str">
        <f ca="1">IF(B109&gt;C109,"",SUMIFS(#REF!,#REF!,D109,#REF!,E109,#REF!,"INVESTIMENTO",#REF!,"SIM"))</f>
        <v/>
      </c>
      <c r="M109" s="28" t="e">
        <f t="shared" ca="1" si="20"/>
        <v>#REF!</v>
      </c>
      <c r="N109" s="28" t="str">
        <f t="shared" ca="1" si="21"/>
        <v/>
      </c>
      <c r="O109" s="29" t="str">
        <f t="shared" ca="1" si="22"/>
        <v/>
      </c>
      <c r="P109" s="30" t="str">
        <f t="shared" ca="1" si="19"/>
        <v/>
      </c>
    </row>
    <row r="110" spans="1:16" s="49" customFormat="1" ht="20.25" customHeight="1" x14ac:dyDescent="0.2">
      <c r="A110" s="48"/>
      <c r="B110" s="47">
        <f t="shared" ca="1" si="25"/>
        <v>49395</v>
      </c>
      <c r="C110" s="47">
        <f t="shared" ca="1" si="17"/>
        <v>46322</v>
      </c>
      <c r="D110" s="48">
        <f t="shared" si="26"/>
        <v>3</v>
      </c>
      <c r="E110" s="48">
        <f t="shared" si="16"/>
        <v>2035</v>
      </c>
      <c r="F110" s="24">
        <v>49369</v>
      </c>
      <c r="G110" s="28" t="e">
        <f t="shared" si="24"/>
        <v>#REF!</v>
      </c>
      <c r="H110" s="28" t="str">
        <f ca="1">IF(B110&gt;C110,"",SUMIFS(#REF!,#REF!,D110,#REF!,E110,#REF!,"SIM")-SUMIFS(#REF!,#REF!,D110,#REF!,E110,#REF!,"SIM",#REF!,"EXTERIOR"))</f>
        <v/>
      </c>
      <c r="I110" s="28" t="e">
        <f t="shared" si="27"/>
        <v>#REF!</v>
      </c>
      <c r="J110" s="28" t="str">
        <f ca="1">IF(B110&gt;C110,"",IF(B110&gt;C110,0,SUMIFS(#REF!,#REF!,"&lt;"&amp;DATE(E111,D111,1),#REF!,"sim",#REF!,"&lt;&gt;"&amp;"EXTERIOR")))</f>
        <v/>
      </c>
      <c r="K110" s="28" t="e">
        <f t="shared" si="28"/>
        <v>#REF!</v>
      </c>
      <c r="L110" s="28" t="str">
        <f ca="1">IF(B110&gt;C110,"",SUMIFS(#REF!,#REF!,D110,#REF!,E110,#REF!,"INVESTIMENTO",#REF!,"SIM"))</f>
        <v/>
      </c>
      <c r="M110" s="28" t="e">
        <f t="shared" ca="1" si="20"/>
        <v>#REF!</v>
      </c>
      <c r="N110" s="28" t="str">
        <f t="shared" ca="1" si="21"/>
        <v/>
      </c>
      <c r="O110" s="29" t="str">
        <f t="shared" ca="1" si="22"/>
        <v/>
      </c>
      <c r="P110" s="30" t="str">
        <f t="shared" ca="1" si="19"/>
        <v/>
      </c>
    </row>
    <row r="111" spans="1:16" s="49" customFormat="1" ht="20.25" customHeight="1" x14ac:dyDescent="0.2">
      <c r="A111" s="48"/>
      <c r="B111" s="47">
        <f t="shared" ca="1" si="25"/>
        <v>49426</v>
      </c>
      <c r="C111" s="47">
        <f t="shared" ca="1" si="17"/>
        <v>46322</v>
      </c>
      <c r="D111" s="48">
        <f t="shared" si="26"/>
        <v>4</v>
      </c>
      <c r="E111" s="48">
        <f t="shared" si="16"/>
        <v>2035</v>
      </c>
      <c r="F111" s="24">
        <v>49400</v>
      </c>
      <c r="G111" s="28" t="e">
        <f t="shared" si="24"/>
        <v>#REF!</v>
      </c>
      <c r="H111" s="28" t="str">
        <f ca="1">IF(B111&gt;C111,"",SUMIFS(#REF!,#REF!,D111,#REF!,E111,#REF!,"SIM")-SUMIFS(#REF!,#REF!,D111,#REF!,E111,#REF!,"SIM",#REF!,"EXTERIOR"))</f>
        <v/>
      </c>
      <c r="I111" s="28" t="e">
        <f t="shared" si="27"/>
        <v>#REF!</v>
      </c>
      <c r="J111" s="28" t="str">
        <f ca="1">IF(B111&gt;C111,"",IF(B111&gt;C111,0,SUMIFS(#REF!,#REF!,"&lt;"&amp;DATE(E112,D112,1),#REF!,"sim",#REF!,"&lt;&gt;"&amp;"EXTERIOR")))</f>
        <v/>
      </c>
      <c r="K111" s="28" t="e">
        <f t="shared" si="28"/>
        <v>#REF!</v>
      </c>
      <c r="L111" s="28" t="str">
        <f ca="1">IF(B111&gt;C111,"",SUMIFS(#REF!,#REF!,D111,#REF!,E111,#REF!,"INVESTIMENTO",#REF!,"SIM"))</f>
        <v/>
      </c>
      <c r="M111" s="28" t="e">
        <f t="shared" ca="1" si="20"/>
        <v>#REF!</v>
      </c>
      <c r="N111" s="28" t="str">
        <f t="shared" ca="1" si="21"/>
        <v/>
      </c>
      <c r="O111" s="29" t="str">
        <f t="shared" ca="1" si="22"/>
        <v/>
      </c>
      <c r="P111" s="30" t="str">
        <f t="shared" ca="1" si="19"/>
        <v/>
      </c>
    </row>
    <row r="112" spans="1:16" s="49" customFormat="1" ht="20.25" customHeight="1" x14ac:dyDescent="0.2">
      <c r="A112" s="48"/>
      <c r="B112" s="47">
        <f t="shared" ca="1" si="25"/>
        <v>49456</v>
      </c>
      <c r="C112" s="47">
        <f t="shared" ca="1" si="17"/>
        <v>46322</v>
      </c>
      <c r="D112" s="48">
        <f t="shared" si="26"/>
        <v>5</v>
      </c>
      <c r="E112" s="48">
        <f t="shared" si="16"/>
        <v>2035</v>
      </c>
      <c r="F112" s="24">
        <v>49430</v>
      </c>
      <c r="G112" s="28" t="e">
        <f t="shared" si="24"/>
        <v>#REF!</v>
      </c>
      <c r="H112" s="28" t="str">
        <f ca="1">IF(B112&gt;C112,"",SUMIFS(#REF!,#REF!,D112,#REF!,E112,#REF!,"SIM")-SUMIFS(#REF!,#REF!,D112,#REF!,E112,#REF!,"SIM",#REF!,"EXTERIOR"))</f>
        <v/>
      </c>
      <c r="I112" s="28" t="e">
        <f t="shared" si="27"/>
        <v>#REF!</v>
      </c>
      <c r="J112" s="28" t="str">
        <f ca="1">IF(B112&gt;C112,"",IF(B112&gt;C112,0,SUMIFS(#REF!,#REF!,"&lt;"&amp;DATE(E113,D113,1),#REF!,"sim",#REF!,"&lt;&gt;"&amp;"EXTERIOR")))</f>
        <v/>
      </c>
      <c r="K112" s="28" t="e">
        <f t="shared" si="28"/>
        <v>#REF!</v>
      </c>
      <c r="L112" s="28" t="str">
        <f ca="1">IF(B112&gt;C112,"",SUMIFS(#REF!,#REF!,D112,#REF!,E112,#REF!,"INVESTIMENTO",#REF!,"SIM"))</f>
        <v/>
      </c>
      <c r="M112" s="28" t="e">
        <f t="shared" ca="1" si="20"/>
        <v>#REF!</v>
      </c>
      <c r="N112" s="28" t="str">
        <f t="shared" ca="1" si="21"/>
        <v/>
      </c>
      <c r="O112" s="29" t="str">
        <f t="shared" ca="1" si="22"/>
        <v/>
      </c>
      <c r="P112" s="30" t="str">
        <f t="shared" ca="1" si="19"/>
        <v/>
      </c>
    </row>
    <row r="113" spans="1:16" s="49" customFormat="1" ht="20.25" customHeight="1" x14ac:dyDescent="0.2">
      <c r="A113" s="48"/>
      <c r="B113" s="47">
        <f t="shared" ca="1" si="25"/>
        <v>49487</v>
      </c>
      <c r="C113" s="47">
        <f t="shared" ca="1" si="17"/>
        <v>46322</v>
      </c>
      <c r="D113" s="48">
        <f t="shared" si="26"/>
        <v>6</v>
      </c>
      <c r="E113" s="48">
        <f t="shared" si="16"/>
        <v>2035</v>
      </c>
      <c r="F113" s="24">
        <v>49461</v>
      </c>
      <c r="G113" s="28" t="e">
        <f t="shared" si="24"/>
        <v>#REF!</v>
      </c>
      <c r="H113" s="28" t="str">
        <f ca="1">IF(B113&gt;C113,"",SUMIFS(#REF!,#REF!,D113,#REF!,E113,#REF!,"SIM")-SUMIFS(#REF!,#REF!,D113,#REF!,E113,#REF!,"SIM",#REF!,"EXTERIOR"))</f>
        <v/>
      </c>
      <c r="I113" s="28" t="e">
        <f t="shared" si="27"/>
        <v>#REF!</v>
      </c>
      <c r="J113" s="28" t="str">
        <f ca="1">IF(B113&gt;C113,"",IF(B113&gt;C113,0,SUMIFS(#REF!,#REF!,"&lt;"&amp;DATE(E114,D114,1),#REF!,"sim",#REF!,"&lt;&gt;"&amp;"EXTERIOR")))</f>
        <v/>
      </c>
      <c r="K113" s="28" t="e">
        <f t="shared" si="28"/>
        <v>#REF!</v>
      </c>
      <c r="L113" s="28" t="str">
        <f ca="1">IF(B113&gt;C113,"",SUMIFS(#REF!,#REF!,D113,#REF!,E113,#REF!,"INVESTIMENTO",#REF!,"SIM"))</f>
        <v/>
      </c>
      <c r="M113" s="28" t="e">
        <f t="shared" ca="1" si="20"/>
        <v>#REF!</v>
      </c>
      <c r="N113" s="28" t="str">
        <f t="shared" ca="1" si="21"/>
        <v/>
      </c>
      <c r="O113" s="29" t="str">
        <f t="shared" ca="1" si="22"/>
        <v/>
      </c>
      <c r="P113" s="30" t="str">
        <f t="shared" ca="1" si="19"/>
        <v/>
      </c>
    </row>
    <row r="114" spans="1:16" s="49" customFormat="1" ht="20.25" customHeight="1" x14ac:dyDescent="0.2">
      <c r="A114" s="48"/>
      <c r="B114" s="47">
        <f t="shared" ca="1" si="25"/>
        <v>49517</v>
      </c>
      <c r="C114" s="47">
        <f t="shared" ca="1" si="17"/>
        <v>46322</v>
      </c>
      <c r="D114" s="48">
        <f t="shared" si="26"/>
        <v>7</v>
      </c>
      <c r="E114" s="48">
        <f t="shared" si="16"/>
        <v>2035</v>
      </c>
      <c r="F114" s="24">
        <v>49491</v>
      </c>
      <c r="G114" s="28" t="e">
        <f t="shared" si="24"/>
        <v>#REF!</v>
      </c>
      <c r="H114" s="28" t="str">
        <f ca="1">IF(B114&gt;C114,"",SUMIFS(#REF!,#REF!,D114,#REF!,E114,#REF!,"SIM")-SUMIFS(#REF!,#REF!,D114,#REF!,E114,#REF!,"SIM",#REF!,"EXTERIOR"))</f>
        <v/>
      </c>
      <c r="I114" s="28" t="e">
        <f t="shared" si="27"/>
        <v>#REF!</v>
      </c>
      <c r="J114" s="28" t="str">
        <f ca="1">IF(B114&gt;C114,"",IF(B114&gt;C114,0,SUMIFS(#REF!,#REF!,"&lt;"&amp;DATE(E115,D115,1),#REF!,"sim",#REF!,"&lt;&gt;"&amp;"EXTERIOR")))</f>
        <v/>
      </c>
      <c r="K114" s="28" t="e">
        <f t="shared" si="28"/>
        <v>#REF!</v>
      </c>
      <c r="L114" s="28" t="str">
        <f ca="1">IF(B114&gt;C114,"",SUMIFS(#REF!,#REF!,D114,#REF!,E114,#REF!,"INVESTIMENTO",#REF!,"SIM"))</f>
        <v/>
      </c>
      <c r="M114" s="28" t="e">
        <f t="shared" ca="1" si="20"/>
        <v>#REF!</v>
      </c>
      <c r="N114" s="28" t="str">
        <f t="shared" ca="1" si="21"/>
        <v/>
      </c>
      <c r="O114" s="29" t="str">
        <f t="shared" ca="1" si="22"/>
        <v/>
      </c>
      <c r="P114" s="30" t="str">
        <f t="shared" ca="1" si="19"/>
        <v/>
      </c>
    </row>
    <row r="115" spans="1:16" s="49" customFormat="1" ht="20.25" customHeight="1" x14ac:dyDescent="0.2">
      <c r="A115" s="48"/>
      <c r="B115" s="47">
        <f t="shared" ca="1" si="25"/>
        <v>49548</v>
      </c>
      <c r="C115" s="47">
        <f t="shared" ca="1" si="17"/>
        <v>46322</v>
      </c>
      <c r="D115" s="48">
        <f t="shared" si="26"/>
        <v>8</v>
      </c>
      <c r="E115" s="48">
        <f t="shared" si="16"/>
        <v>2035</v>
      </c>
      <c r="F115" s="24">
        <v>49522</v>
      </c>
      <c r="G115" s="28" t="e">
        <f t="shared" si="24"/>
        <v>#REF!</v>
      </c>
      <c r="H115" s="28" t="str">
        <f ca="1">IF(B115&gt;C115,"",SUMIFS(#REF!,#REF!,D115,#REF!,E115,#REF!,"SIM")-SUMIFS(#REF!,#REF!,D115,#REF!,E115,#REF!,"SIM",#REF!,"EXTERIOR"))</f>
        <v/>
      </c>
      <c r="I115" s="28" t="e">
        <f t="shared" si="27"/>
        <v>#REF!</v>
      </c>
      <c r="J115" s="28" t="str">
        <f ca="1">IF(B115&gt;C115,"",IF(B115&gt;C115,0,SUMIFS(#REF!,#REF!,"&lt;"&amp;DATE(E116,D116,1),#REF!,"sim",#REF!,"&lt;&gt;"&amp;"EXTERIOR")))</f>
        <v/>
      </c>
      <c r="K115" s="28" t="e">
        <f t="shared" si="28"/>
        <v>#REF!</v>
      </c>
      <c r="L115" s="28" t="str">
        <f ca="1">IF(B115&gt;C115,"",SUMIFS(#REF!,#REF!,D115,#REF!,E115,#REF!,"INVESTIMENTO",#REF!,"SIM"))</f>
        <v/>
      </c>
      <c r="M115" s="28" t="e">
        <f t="shared" ca="1" si="20"/>
        <v>#REF!</v>
      </c>
      <c r="N115" s="28" t="str">
        <f t="shared" ca="1" si="21"/>
        <v/>
      </c>
      <c r="O115" s="29" t="str">
        <f t="shared" ca="1" si="22"/>
        <v/>
      </c>
      <c r="P115" s="30" t="str">
        <f t="shared" ca="1" si="19"/>
        <v/>
      </c>
    </row>
    <row r="116" spans="1:16" s="49" customFormat="1" ht="20.25" customHeight="1" x14ac:dyDescent="0.2">
      <c r="A116" s="48"/>
      <c r="B116" s="47">
        <f t="shared" ca="1" si="25"/>
        <v>49579</v>
      </c>
      <c r="C116" s="47">
        <f t="shared" ca="1" si="17"/>
        <v>46322</v>
      </c>
      <c r="D116" s="48">
        <f t="shared" si="26"/>
        <v>9</v>
      </c>
      <c r="E116" s="48">
        <f t="shared" si="16"/>
        <v>2035</v>
      </c>
      <c r="F116" s="24">
        <v>49553</v>
      </c>
      <c r="G116" s="28" t="e">
        <f t="shared" si="24"/>
        <v>#REF!</v>
      </c>
      <c r="H116" s="28" t="str">
        <f ca="1">IF(B116&gt;C116,"",SUMIFS(#REF!,#REF!,D116,#REF!,E116,#REF!,"SIM")-SUMIFS(#REF!,#REF!,D116,#REF!,E116,#REF!,"SIM",#REF!,"EXTERIOR"))</f>
        <v/>
      </c>
      <c r="I116" s="28" t="e">
        <f t="shared" si="27"/>
        <v>#REF!</v>
      </c>
      <c r="J116" s="28" t="str">
        <f ca="1">IF(B116&gt;C116,"",IF(B116&gt;C116,0,SUMIFS(#REF!,#REF!,"&lt;"&amp;DATE(E117,D117,1),#REF!,"sim",#REF!,"&lt;&gt;"&amp;"EXTERIOR")))</f>
        <v/>
      </c>
      <c r="K116" s="28" t="e">
        <f t="shared" si="28"/>
        <v>#REF!</v>
      </c>
      <c r="L116" s="28" t="str">
        <f ca="1">IF(B116&gt;C116,"",SUMIFS(#REF!,#REF!,D116,#REF!,E116,#REF!,"INVESTIMENTO",#REF!,"SIM"))</f>
        <v/>
      </c>
      <c r="M116" s="28" t="e">
        <f t="shared" ca="1" si="20"/>
        <v>#REF!</v>
      </c>
      <c r="N116" s="28" t="str">
        <f t="shared" ca="1" si="21"/>
        <v/>
      </c>
      <c r="O116" s="29" t="str">
        <f t="shared" ca="1" si="22"/>
        <v/>
      </c>
      <c r="P116" s="30" t="str">
        <f t="shared" ca="1" si="19"/>
        <v/>
      </c>
    </row>
    <row r="117" spans="1:16" s="49" customFormat="1" ht="20.25" customHeight="1" x14ac:dyDescent="0.2">
      <c r="A117" s="48"/>
      <c r="B117" s="47">
        <f t="shared" ca="1" si="25"/>
        <v>49609</v>
      </c>
      <c r="C117" s="47">
        <f t="shared" ca="1" si="17"/>
        <v>46322</v>
      </c>
      <c r="D117" s="48">
        <f t="shared" si="26"/>
        <v>10</v>
      </c>
      <c r="E117" s="48">
        <f t="shared" si="16"/>
        <v>2035</v>
      </c>
      <c r="F117" s="24">
        <v>49583</v>
      </c>
      <c r="G117" s="28" t="e">
        <f t="shared" si="24"/>
        <v>#REF!</v>
      </c>
      <c r="H117" s="28" t="str">
        <f ca="1">IF(B117&gt;C117,"",SUMIFS(#REF!,#REF!,D117,#REF!,E117,#REF!,"SIM")-SUMIFS(#REF!,#REF!,D117,#REF!,E117,#REF!,"SIM",#REF!,"EXTERIOR"))</f>
        <v/>
      </c>
      <c r="I117" s="28" t="e">
        <f t="shared" si="27"/>
        <v>#REF!</v>
      </c>
      <c r="J117" s="28" t="str">
        <f ca="1">IF(B117&gt;C117,"",IF(B117&gt;C117,0,SUMIFS(#REF!,#REF!,"&lt;"&amp;DATE(E118,D118,1),#REF!,"sim",#REF!,"&lt;&gt;"&amp;"EXTERIOR")))</f>
        <v/>
      </c>
      <c r="K117" s="28" t="e">
        <f t="shared" si="28"/>
        <v>#REF!</v>
      </c>
      <c r="L117" s="28" t="str">
        <f ca="1">IF(B117&gt;C117,"",SUMIFS(#REF!,#REF!,D117,#REF!,E117,#REF!,"INVESTIMENTO",#REF!,"SIM"))</f>
        <v/>
      </c>
      <c r="M117" s="28" t="e">
        <f t="shared" ca="1" si="20"/>
        <v>#REF!</v>
      </c>
      <c r="N117" s="28" t="str">
        <f t="shared" ca="1" si="21"/>
        <v/>
      </c>
      <c r="O117" s="29" t="str">
        <f t="shared" ca="1" si="22"/>
        <v/>
      </c>
      <c r="P117" s="30" t="str">
        <f t="shared" ca="1" si="19"/>
        <v/>
      </c>
    </row>
    <row r="118" spans="1:16" s="49" customFormat="1" ht="20.25" customHeight="1" x14ac:dyDescent="0.2">
      <c r="A118" s="48"/>
      <c r="B118" s="47">
        <f t="shared" ca="1" si="25"/>
        <v>49640</v>
      </c>
      <c r="C118" s="47">
        <f t="shared" ca="1" si="17"/>
        <v>46322</v>
      </c>
      <c r="D118" s="48">
        <f t="shared" si="26"/>
        <v>11</v>
      </c>
      <c r="E118" s="48">
        <f t="shared" si="16"/>
        <v>2035</v>
      </c>
      <c r="F118" s="24">
        <v>49614</v>
      </c>
      <c r="G118" s="28" t="e">
        <f t="shared" si="24"/>
        <v>#REF!</v>
      </c>
      <c r="H118" s="28" t="str">
        <f ca="1">IF(B118&gt;C118,"",SUMIFS(#REF!,#REF!,D118,#REF!,E118,#REF!,"SIM")-SUMIFS(#REF!,#REF!,D118,#REF!,E118,#REF!,"SIM",#REF!,"EXTERIOR"))</f>
        <v/>
      </c>
      <c r="I118" s="28" t="e">
        <f t="shared" si="27"/>
        <v>#REF!</v>
      </c>
      <c r="J118" s="28" t="str">
        <f ca="1">IF(B118&gt;C118,"",IF(B118&gt;C118,0,SUMIFS(#REF!,#REF!,"&lt;"&amp;DATE(E119,D119,1),#REF!,"sim",#REF!,"&lt;&gt;"&amp;"EXTERIOR")))</f>
        <v/>
      </c>
      <c r="K118" s="28" t="e">
        <f t="shared" si="28"/>
        <v>#REF!</v>
      </c>
      <c r="L118" s="28" t="str">
        <f ca="1">IF(B118&gt;C118,"",SUMIFS(#REF!,#REF!,D118,#REF!,E118,#REF!,"INVESTIMENTO",#REF!,"SIM"))</f>
        <v/>
      </c>
      <c r="M118" s="28" t="e">
        <f t="shared" ca="1" si="20"/>
        <v>#REF!</v>
      </c>
      <c r="N118" s="28" t="str">
        <f t="shared" ca="1" si="21"/>
        <v/>
      </c>
      <c r="O118" s="29" t="str">
        <f t="shared" ca="1" si="22"/>
        <v/>
      </c>
      <c r="P118" s="30" t="str">
        <f t="shared" ca="1" si="19"/>
        <v/>
      </c>
    </row>
    <row r="119" spans="1:16" s="49" customFormat="1" ht="20.25" customHeight="1" x14ac:dyDescent="0.2">
      <c r="A119" s="48"/>
      <c r="B119" s="47">
        <f t="shared" ca="1" si="25"/>
        <v>49670</v>
      </c>
      <c r="C119" s="47">
        <f t="shared" ca="1" si="17"/>
        <v>46322</v>
      </c>
      <c r="D119" s="48">
        <f t="shared" si="26"/>
        <v>12</v>
      </c>
      <c r="E119" s="48">
        <f t="shared" si="16"/>
        <v>2035</v>
      </c>
      <c r="F119" s="24">
        <v>49644</v>
      </c>
      <c r="G119" s="28" t="e">
        <f t="shared" si="24"/>
        <v>#REF!</v>
      </c>
      <c r="H119" s="28" t="str">
        <f ca="1">IF(B119&gt;C119,"",SUMIFS(#REF!,#REF!,D119,#REF!,E119,#REF!,"SIM")-SUMIFS(#REF!,#REF!,D119,#REF!,E119,#REF!,"SIM",#REF!,"EXTERIOR"))</f>
        <v/>
      </c>
      <c r="I119" s="28" t="e">
        <f t="shared" si="27"/>
        <v>#REF!</v>
      </c>
      <c r="J119" s="28" t="str">
        <f ca="1">IF(B119&gt;C119,"",IF(B119&gt;C119,0,SUMIFS(#REF!,#REF!,"&lt;"&amp;DATE(E120,D120,1),#REF!,"sim",#REF!,"&lt;&gt;"&amp;"EXTERIOR")))</f>
        <v/>
      </c>
      <c r="K119" s="28" t="e">
        <f t="shared" si="28"/>
        <v>#REF!</v>
      </c>
      <c r="L119" s="28" t="str">
        <f ca="1">IF(B119&gt;C119,"",SUMIFS(#REF!,#REF!,D119,#REF!,E119,#REF!,"INVESTIMENTO",#REF!,"SIM"))</f>
        <v/>
      </c>
      <c r="M119" s="28" t="e">
        <f t="shared" ca="1" si="20"/>
        <v>#REF!</v>
      </c>
      <c r="N119" s="28" t="str">
        <f t="shared" ca="1" si="21"/>
        <v/>
      </c>
      <c r="O119" s="29" t="str">
        <f t="shared" ca="1" si="22"/>
        <v/>
      </c>
      <c r="P119" s="30" t="str">
        <f t="shared" ca="1" si="19"/>
        <v/>
      </c>
    </row>
    <row r="120" spans="1:16" s="49" customFormat="1" ht="20.25" customHeight="1" x14ac:dyDescent="0.2">
      <c r="A120" s="48"/>
      <c r="B120" s="47">
        <f t="shared" ca="1" si="25"/>
        <v>49701</v>
      </c>
      <c r="C120" s="47">
        <f t="shared" ca="1" si="17"/>
        <v>46322</v>
      </c>
      <c r="D120" s="48">
        <f t="shared" si="26"/>
        <v>1</v>
      </c>
      <c r="E120" s="48">
        <f t="shared" si="16"/>
        <v>2036</v>
      </c>
      <c r="F120" s="24">
        <v>49675</v>
      </c>
      <c r="G120" s="28" t="e">
        <f t="shared" si="24"/>
        <v>#REF!</v>
      </c>
      <c r="H120" s="28" t="str">
        <f ca="1">IF(B120&gt;C120,"",SUMIFS(#REF!,#REF!,D120,#REF!,E120,#REF!,"SIM")-SUMIFS(#REF!,#REF!,D120,#REF!,E120,#REF!,"SIM",#REF!,"EXTERIOR"))</f>
        <v/>
      </c>
      <c r="I120" s="28" t="e">
        <f t="shared" si="27"/>
        <v>#REF!</v>
      </c>
      <c r="J120" s="28" t="str">
        <f ca="1">IF(B120&gt;C120,"",IF(B120&gt;C120,0,SUMIFS(#REF!,#REF!,"&lt;"&amp;DATE(E121,D121,1),#REF!,"sim",#REF!,"&lt;&gt;"&amp;"EXTERIOR")))</f>
        <v/>
      </c>
      <c r="K120" s="28" t="e">
        <f t="shared" si="28"/>
        <v>#REF!</v>
      </c>
      <c r="L120" s="28" t="str">
        <f ca="1">IF(B120&gt;C120,"",SUMIFS(#REF!,#REF!,D120,#REF!,E120,#REF!,"INVESTIMENTO",#REF!,"SIM"))</f>
        <v/>
      </c>
      <c r="M120" s="28" t="e">
        <f t="shared" ca="1" si="20"/>
        <v>#REF!</v>
      </c>
      <c r="N120" s="28" t="str">
        <f t="shared" ca="1" si="21"/>
        <v/>
      </c>
      <c r="O120" s="29" t="str">
        <f t="shared" ca="1" si="22"/>
        <v/>
      </c>
      <c r="P120" s="30" t="str">
        <f t="shared" ca="1" si="19"/>
        <v/>
      </c>
    </row>
    <row r="121" spans="1:16" s="49" customFormat="1" ht="20.25" customHeight="1" x14ac:dyDescent="0.2">
      <c r="A121" s="48"/>
      <c r="B121" s="47">
        <f t="shared" ca="1" si="25"/>
        <v>49732</v>
      </c>
      <c r="C121" s="47">
        <f t="shared" ca="1" si="17"/>
        <v>46322</v>
      </c>
      <c r="D121" s="48">
        <f t="shared" si="26"/>
        <v>2</v>
      </c>
      <c r="E121" s="48">
        <f t="shared" si="16"/>
        <v>2036</v>
      </c>
      <c r="F121" s="24">
        <v>49706</v>
      </c>
      <c r="G121" s="28" t="e">
        <f t="shared" si="24"/>
        <v>#REF!</v>
      </c>
      <c r="H121" s="28" t="str">
        <f ca="1">IF(B121&gt;C121,"",SUMIFS(#REF!,#REF!,D121,#REF!,E121,#REF!,"SIM")-SUMIFS(#REF!,#REF!,D121,#REF!,E121,#REF!,"SIM",#REF!,"EXTERIOR"))</f>
        <v/>
      </c>
      <c r="I121" s="28" t="e">
        <f t="shared" si="27"/>
        <v>#REF!</v>
      </c>
      <c r="J121" s="28" t="str">
        <f ca="1">IF(B121&gt;C121,"",IF(B121&gt;C121,0,SUMIFS(#REF!,#REF!,"&lt;"&amp;DATE(E122,D122,1),#REF!,"sim",#REF!,"&lt;&gt;"&amp;"EXTERIOR")))</f>
        <v/>
      </c>
      <c r="K121" s="28" t="e">
        <f t="shared" si="28"/>
        <v>#REF!</v>
      </c>
      <c r="L121" s="28" t="str">
        <f ca="1">IF(B121&gt;C121,"",SUMIFS(#REF!,#REF!,D121,#REF!,E121,#REF!,"INVESTIMENTO",#REF!,"SIM"))</f>
        <v/>
      </c>
      <c r="M121" s="28" t="e">
        <f t="shared" ca="1" si="20"/>
        <v>#REF!</v>
      </c>
      <c r="N121" s="28" t="str">
        <f t="shared" ca="1" si="21"/>
        <v/>
      </c>
      <c r="O121" s="29" t="str">
        <f t="shared" ca="1" si="22"/>
        <v/>
      </c>
      <c r="P121" s="30" t="str">
        <f t="shared" ca="1" si="19"/>
        <v/>
      </c>
    </row>
    <row r="122" spans="1:16" s="49" customFormat="1" ht="20.25" customHeight="1" x14ac:dyDescent="0.2">
      <c r="A122" s="48"/>
      <c r="B122" s="47">
        <f t="shared" ca="1" si="25"/>
        <v>49761</v>
      </c>
      <c r="C122" s="47">
        <f t="shared" ca="1" si="17"/>
        <v>46322</v>
      </c>
      <c r="D122" s="48">
        <f t="shared" si="26"/>
        <v>3</v>
      </c>
      <c r="E122" s="48">
        <f t="shared" si="16"/>
        <v>2036</v>
      </c>
      <c r="F122" s="24">
        <v>49735</v>
      </c>
      <c r="G122" s="28" t="e">
        <f t="shared" si="24"/>
        <v>#REF!</v>
      </c>
      <c r="H122" s="28" t="str">
        <f ca="1">IF(B122&gt;C122,"",SUMIFS(#REF!,#REF!,D122,#REF!,E122,#REF!,"SIM")-SUMIFS(#REF!,#REF!,D122,#REF!,E122,#REF!,"SIM",#REF!,"EXTERIOR"))</f>
        <v/>
      </c>
      <c r="I122" s="28" t="e">
        <f t="shared" si="27"/>
        <v>#REF!</v>
      </c>
      <c r="J122" s="28" t="str">
        <f ca="1">IF(B122&gt;C122,"",IF(B122&gt;C122,0,SUMIFS(#REF!,#REF!,"&lt;"&amp;DATE(E123,D123,1),#REF!,"sim",#REF!,"&lt;&gt;"&amp;"EXTERIOR")))</f>
        <v/>
      </c>
      <c r="K122" s="28" t="e">
        <f t="shared" si="28"/>
        <v>#REF!</v>
      </c>
      <c r="L122" s="28" t="str">
        <f ca="1">IF(B122&gt;C122,"",SUMIFS(#REF!,#REF!,D122,#REF!,E122,#REF!,"INVESTIMENTO",#REF!,"SIM"))</f>
        <v/>
      </c>
      <c r="M122" s="28" t="e">
        <f t="shared" ca="1" si="20"/>
        <v>#REF!</v>
      </c>
      <c r="N122" s="28" t="str">
        <f t="shared" ca="1" si="21"/>
        <v/>
      </c>
      <c r="O122" s="29" t="str">
        <f t="shared" ca="1" si="22"/>
        <v/>
      </c>
      <c r="P122" s="30" t="str">
        <f t="shared" ca="1" si="19"/>
        <v/>
      </c>
    </row>
    <row r="123" spans="1:16" s="49" customFormat="1" ht="20.25" customHeight="1" x14ac:dyDescent="0.2">
      <c r="A123" s="48"/>
      <c r="B123" s="47">
        <f t="shared" ca="1" si="25"/>
        <v>49792</v>
      </c>
      <c r="C123" s="47">
        <f t="shared" ca="1" si="17"/>
        <v>46322</v>
      </c>
      <c r="D123" s="48">
        <f t="shared" si="26"/>
        <v>4</v>
      </c>
      <c r="E123" s="48">
        <f t="shared" si="16"/>
        <v>2036</v>
      </c>
      <c r="F123" s="24">
        <v>49766</v>
      </c>
      <c r="G123" s="28" t="e">
        <f t="shared" si="24"/>
        <v>#REF!</v>
      </c>
      <c r="H123" s="28" t="str">
        <f ca="1">IF(B123&gt;C123,"",SUMIFS(#REF!,#REF!,D123,#REF!,E123,#REF!,"SIM")-SUMIFS(#REF!,#REF!,D123,#REF!,E123,#REF!,"SIM",#REF!,"EXTERIOR"))</f>
        <v/>
      </c>
      <c r="I123" s="28" t="e">
        <f t="shared" si="27"/>
        <v>#REF!</v>
      </c>
      <c r="J123" s="28" t="str">
        <f ca="1">IF(B123&gt;C123,"",IF(B123&gt;C123,0,SUMIFS(#REF!,#REF!,"&lt;"&amp;DATE(E124,D124,1),#REF!,"sim",#REF!,"&lt;&gt;"&amp;"EXTERIOR")))</f>
        <v/>
      </c>
      <c r="K123" s="28" t="e">
        <f t="shared" si="28"/>
        <v>#REF!</v>
      </c>
      <c r="L123" s="28" t="str">
        <f ca="1">IF(B123&gt;C123,"",SUMIFS(#REF!,#REF!,D123,#REF!,E123,#REF!,"INVESTIMENTO",#REF!,"SIM"))</f>
        <v/>
      </c>
      <c r="M123" s="28" t="e">
        <f t="shared" ca="1" si="20"/>
        <v>#REF!</v>
      </c>
      <c r="N123" s="28" t="str">
        <f t="shared" ca="1" si="21"/>
        <v/>
      </c>
      <c r="O123" s="29" t="str">
        <f t="shared" ca="1" si="22"/>
        <v/>
      </c>
      <c r="P123" s="30" t="str">
        <f t="shared" ca="1" si="19"/>
        <v/>
      </c>
    </row>
    <row r="124" spans="1:16" s="49" customFormat="1" ht="20.25" customHeight="1" x14ac:dyDescent="0.2">
      <c r="A124" s="48"/>
      <c r="B124" s="47">
        <f t="shared" ca="1" si="25"/>
        <v>49822</v>
      </c>
      <c r="C124" s="47">
        <f t="shared" ca="1" si="17"/>
        <v>46322</v>
      </c>
      <c r="D124" s="48">
        <f t="shared" si="26"/>
        <v>5</v>
      </c>
      <c r="E124" s="48">
        <f t="shared" si="16"/>
        <v>2036</v>
      </c>
      <c r="F124" s="24">
        <v>49796</v>
      </c>
      <c r="G124" s="28" t="e">
        <f t="shared" si="24"/>
        <v>#REF!</v>
      </c>
      <c r="H124" s="28" t="str">
        <f ca="1">IF(B124&gt;C124,"",SUMIFS(#REF!,#REF!,D124,#REF!,E124,#REF!,"SIM")-SUMIFS(#REF!,#REF!,D124,#REF!,E124,#REF!,"SIM",#REF!,"EXTERIOR"))</f>
        <v/>
      </c>
      <c r="I124" s="28" t="e">
        <f t="shared" si="27"/>
        <v>#REF!</v>
      </c>
      <c r="J124" s="28" t="str">
        <f ca="1">IF(B124&gt;C124,"",IF(B124&gt;C124,0,SUMIFS(#REF!,#REF!,"&lt;"&amp;DATE(E125,D125,1),#REF!,"sim",#REF!,"&lt;&gt;"&amp;"EXTERIOR")))</f>
        <v/>
      </c>
      <c r="K124" s="28" t="e">
        <f t="shared" si="28"/>
        <v>#REF!</v>
      </c>
      <c r="L124" s="28" t="str">
        <f ca="1">IF(B124&gt;C124,"",SUMIFS(#REF!,#REF!,D124,#REF!,E124,#REF!,"INVESTIMENTO",#REF!,"SIM"))</f>
        <v/>
      </c>
      <c r="M124" s="28" t="e">
        <f t="shared" ca="1" si="20"/>
        <v>#REF!</v>
      </c>
      <c r="N124" s="28" t="str">
        <f t="shared" ca="1" si="21"/>
        <v/>
      </c>
      <c r="O124" s="29" t="str">
        <f t="shared" ca="1" si="22"/>
        <v/>
      </c>
      <c r="P124" s="30" t="str">
        <f t="shared" ca="1" si="19"/>
        <v/>
      </c>
    </row>
    <row r="125" spans="1:16" s="49" customFormat="1" ht="20.25" customHeight="1" x14ac:dyDescent="0.2">
      <c r="A125" s="48"/>
      <c r="B125" s="47">
        <f t="shared" ca="1" si="25"/>
        <v>49853</v>
      </c>
      <c r="C125" s="47">
        <f t="shared" ca="1" si="17"/>
        <v>46322</v>
      </c>
      <c r="D125" s="48">
        <f t="shared" si="26"/>
        <v>6</v>
      </c>
      <c r="E125" s="48">
        <f t="shared" si="16"/>
        <v>2036</v>
      </c>
      <c r="F125" s="24">
        <v>49827</v>
      </c>
      <c r="G125" s="28" t="e">
        <f t="shared" si="24"/>
        <v>#REF!</v>
      </c>
      <c r="H125" s="28" t="str">
        <f ca="1">IF(B125&gt;C125,"",SUMIFS(#REF!,#REF!,D125,#REF!,E125,#REF!,"SIM")-SUMIFS(#REF!,#REF!,D125,#REF!,E125,#REF!,"SIM",#REF!,"EXTERIOR"))</f>
        <v/>
      </c>
      <c r="I125" s="28" t="e">
        <f t="shared" si="27"/>
        <v>#REF!</v>
      </c>
      <c r="J125" s="28" t="str">
        <f ca="1">IF(B125&gt;C125,"",IF(B125&gt;C125,0,SUMIFS(#REF!,#REF!,"&lt;"&amp;DATE(E126,D126,1),#REF!,"sim",#REF!,"&lt;&gt;"&amp;"EXTERIOR")))</f>
        <v/>
      </c>
      <c r="K125" s="28" t="e">
        <f t="shared" si="28"/>
        <v>#REF!</v>
      </c>
      <c r="L125" s="28" t="str">
        <f ca="1">IF(B125&gt;C125,"",SUMIFS(#REF!,#REF!,D125,#REF!,E125,#REF!,"INVESTIMENTO",#REF!,"SIM"))</f>
        <v/>
      </c>
      <c r="M125" s="28" t="e">
        <f t="shared" ca="1" si="20"/>
        <v>#REF!</v>
      </c>
      <c r="N125" s="28" t="str">
        <f t="shared" ca="1" si="21"/>
        <v/>
      </c>
      <c r="O125" s="29" t="str">
        <f t="shared" ca="1" si="22"/>
        <v/>
      </c>
      <c r="P125" s="30" t="str">
        <f t="shared" ca="1" si="19"/>
        <v/>
      </c>
    </row>
    <row r="126" spans="1:16" s="49" customFormat="1" ht="20.25" customHeight="1" x14ac:dyDescent="0.2">
      <c r="A126" s="48"/>
      <c r="B126" s="47">
        <f t="shared" ca="1" si="25"/>
        <v>49883</v>
      </c>
      <c r="C126" s="47">
        <f t="shared" ca="1" si="17"/>
        <v>46322</v>
      </c>
      <c r="D126" s="48">
        <f t="shared" si="26"/>
        <v>7</v>
      </c>
      <c r="E126" s="48">
        <f t="shared" si="16"/>
        <v>2036</v>
      </c>
      <c r="F126" s="24">
        <v>49857</v>
      </c>
      <c r="G126" s="28" t="e">
        <f t="shared" si="24"/>
        <v>#REF!</v>
      </c>
      <c r="H126" s="28" t="str">
        <f ca="1">IF(B126&gt;C126,"",SUMIFS(#REF!,#REF!,D126,#REF!,E126,#REF!,"SIM")-SUMIFS(#REF!,#REF!,D126,#REF!,E126,#REF!,"SIM",#REF!,"EXTERIOR"))</f>
        <v/>
      </c>
      <c r="I126" s="28" t="e">
        <f t="shared" si="27"/>
        <v>#REF!</v>
      </c>
      <c r="J126" s="28" t="str">
        <f ca="1">IF(B126&gt;C126,"",IF(B126&gt;C126,0,SUMIFS(#REF!,#REF!,"&lt;"&amp;DATE(E127,D127,1),#REF!,"sim",#REF!,"&lt;&gt;"&amp;"EXTERIOR")))</f>
        <v/>
      </c>
      <c r="K126" s="28" t="e">
        <f t="shared" si="28"/>
        <v>#REF!</v>
      </c>
      <c r="L126" s="28" t="str">
        <f ca="1">IF(B126&gt;C126,"",SUMIFS(#REF!,#REF!,D126,#REF!,E126,#REF!,"INVESTIMENTO",#REF!,"SIM"))</f>
        <v/>
      </c>
      <c r="M126" s="28" t="e">
        <f t="shared" ca="1" si="20"/>
        <v>#REF!</v>
      </c>
      <c r="N126" s="28" t="str">
        <f t="shared" ca="1" si="21"/>
        <v/>
      </c>
      <c r="O126" s="29" t="str">
        <f t="shared" ca="1" si="22"/>
        <v/>
      </c>
      <c r="P126" s="30" t="str">
        <f t="shared" ca="1" si="19"/>
        <v/>
      </c>
    </row>
    <row r="127" spans="1:16" s="49" customFormat="1" ht="20.25" customHeight="1" x14ac:dyDescent="0.2">
      <c r="A127" s="48"/>
      <c r="B127" s="47">
        <f t="shared" ca="1" si="25"/>
        <v>49914</v>
      </c>
      <c r="C127" s="47">
        <f t="shared" ca="1" si="17"/>
        <v>46322</v>
      </c>
      <c r="D127" s="48">
        <f t="shared" si="26"/>
        <v>8</v>
      </c>
      <c r="E127" s="48">
        <f t="shared" si="16"/>
        <v>2036</v>
      </c>
      <c r="F127" s="24">
        <v>49888</v>
      </c>
      <c r="G127" s="28" t="e">
        <f t="shared" si="24"/>
        <v>#REF!</v>
      </c>
      <c r="H127" s="28" t="str">
        <f ca="1">IF(B127&gt;C127,"",SUMIFS(#REF!,#REF!,D127,#REF!,E127,#REF!,"SIM")-SUMIFS(#REF!,#REF!,D127,#REF!,E127,#REF!,"SIM",#REF!,"EXTERIOR"))</f>
        <v/>
      </c>
      <c r="I127" s="28" t="e">
        <f t="shared" si="27"/>
        <v>#REF!</v>
      </c>
      <c r="J127" s="28" t="str">
        <f ca="1">IF(B127&gt;C127,"",IF(B127&gt;C127,0,SUMIFS(#REF!,#REF!,"&lt;"&amp;DATE(E128,D128,1),#REF!,"sim",#REF!,"&lt;&gt;"&amp;"EXTERIOR")))</f>
        <v/>
      </c>
      <c r="K127" s="28" t="e">
        <f t="shared" si="28"/>
        <v>#REF!</v>
      </c>
      <c r="L127" s="28" t="str">
        <f ca="1">IF(B127&gt;C127,"",SUMIFS(#REF!,#REF!,D127,#REF!,E127,#REF!,"INVESTIMENTO",#REF!,"SIM"))</f>
        <v/>
      </c>
      <c r="M127" s="28" t="e">
        <f t="shared" ca="1" si="20"/>
        <v>#REF!</v>
      </c>
      <c r="N127" s="28" t="str">
        <f t="shared" ca="1" si="21"/>
        <v/>
      </c>
      <c r="O127" s="29" t="str">
        <f t="shared" ca="1" si="22"/>
        <v/>
      </c>
      <c r="P127" s="30" t="str">
        <f t="shared" ca="1" si="19"/>
        <v/>
      </c>
    </row>
    <row r="128" spans="1:16" s="49" customFormat="1" ht="20.25" customHeight="1" x14ac:dyDescent="0.2">
      <c r="A128" s="48"/>
      <c r="B128" s="47">
        <f t="shared" ca="1" si="25"/>
        <v>49945</v>
      </c>
      <c r="C128" s="47">
        <f t="shared" ca="1" si="17"/>
        <v>46322</v>
      </c>
      <c r="D128" s="48">
        <f t="shared" si="26"/>
        <v>9</v>
      </c>
      <c r="E128" s="48">
        <f t="shared" si="16"/>
        <v>2036</v>
      </c>
      <c r="F128" s="24">
        <v>49919</v>
      </c>
      <c r="G128" s="28" t="e">
        <f t="shared" si="24"/>
        <v>#REF!</v>
      </c>
      <c r="H128" s="28" t="str">
        <f ca="1">IF(B128&gt;C128,"",SUMIFS(#REF!,#REF!,D128,#REF!,E128,#REF!,"SIM")-SUMIFS(#REF!,#REF!,D128,#REF!,E128,#REF!,"SIM",#REF!,"EXTERIOR"))</f>
        <v/>
      </c>
      <c r="I128" s="28" t="e">
        <f t="shared" si="27"/>
        <v>#REF!</v>
      </c>
      <c r="J128" s="28" t="str">
        <f ca="1">IF(B128&gt;C128,"",IF(B128&gt;C128,0,SUMIFS(#REF!,#REF!,"&lt;"&amp;DATE(E129,D129,1),#REF!,"sim",#REF!,"&lt;&gt;"&amp;"EXTERIOR")))</f>
        <v/>
      </c>
      <c r="K128" s="28" t="e">
        <f t="shared" si="28"/>
        <v>#REF!</v>
      </c>
      <c r="L128" s="28" t="str">
        <f ca="1">IF(B128&gt;C128,"",SUMIFS(#REF!,#REF!,D128,#REF!,E128,#REF!,"INVESTIMENTO",#REF!,"SIM"))</f>
        <v/>
      </c>
      <c r="M128" s="28" t="e">
        <f t="shared" ca="1" si="20"/>
        <v>#REF!</v>
      </c>
      <c r="N128" s="28" t="str">
        <f t="shared" ca="1" si="21"/>
        <v/>
      </c>
      <c r="O128" s="29" t="str">
        <f t="shared" ca="1" si="22"/>
        <v/>
      </c>
      <c r="P128" s="30" t="str">
        <f t="shared" ca="1" si="19"/>
        <v/>
      </c>
    </row>
    <row r="129" spans="1:16" s="49" customFormat="1" ht="20.25" customHeight="1" x14ac:dyDescent="0.2">
      <c r="A129" s="48"/>
      <c r="B129" s="47">
        <f t="shared" ca="1" si="25"/>
        <v>49975</v>
      </c>
      <c r="C129" s="47">
        <f t="shared" ca="1" si="17"/>
        <v>46322</v>
      </c>
      <c r="D129" s="48">
        <f t="shared" si="26"/>
        <v>10</v>
      </c>
      <c r="E129" s="48">
        <f t="shared" si="16"/>
        <v>2036</v>
      </c>
      <c r="F129" s="24">
        <v>49949</v>
      </c>
      <c r="G129" s="28" t="e">
        <f t="shared" si="24"/>
        <v>#REF!</v>
      </c>
      <c r="H129" s="28" t="str">
        <f ca="1">IF(B129&gt;C129,"",SUMIFS(#REF!,#REF!,D129,#REF!,E129,#REF!,"SIM")-SUMIFS(#REF!,#REF!,D129,#REF!,E129,#REF!,"SIM",#REF!,"EXTERIOR"))</f>
        <v/>
      </c>
      <c r="I129" s="28" t="e">
        <f t="shared" si="27"/>
        <v>#REF!</v>
      </c>
      <c r="J129" s="28" t="str">
        <f ca="1">IF(B129&gt;C129,"",IF(B129&gt;C129,0,SUMIFS(#REF!,#REF!,"&lt;"&amp;DATE(E130,D130,1),#REF!,"sim",#REF!,"&lt;&gt;"&amp;"EXTERIOR")))</f>
        <v/>
      </c>
      <c r="K129" s="28" t="e">
        <f t="shared" si="28"/>
        <v>#REF!</v>
      </c>
      <c r="L129" s="28" t="str">
        <f ca="1">IF(B129&gt;C129,"",SUMIFS(#REF!,#REF!,D129,#REF!,E129,#REF!,"INVESTIMENTO",#REF!,"SIM"))</f>
        <v/>
      </c>
      <c r="M129" s="28" t="e">
        <f t="shared" ca="1" si="20"/>
        <v>#REF!</v>
      </c>
      <c r="N129" s="28" t="str">
        <f t="shared" ca="1" si="21"/>
        <v/>
      </c>
      <c r="O129" s="29" t="str">
        <f t="shared" ca="1" si="22"/>
        <v/>
      </c>
      <c r="P129" s="30" t="str">
        <f t="shared" ca="1" si="19"/>
        <v/>
      </c>
    </row>
    <row r="130" spans="1:16" s="49" customFormat="1" ht="20.25" customHeight="1" x14ac:dyDescent="0.2">
      <c r="A130" s="48"/>
      <c r="B130" s="47">
        <f t="shared" ca="1" si="25"/>
        <v>50006</v>
      </c>
      <c r="C130" s="47">
        <f t="shared" ca="1" si="17"/>
        <v>46322</v>
      </c>
      <c r="D130" s="48">
        <f t="shared" si="26"/>
        <v>11</v>
      </c>
      <c r="E130" s="48">
        <f t="shared" si="16"/>
        <v>2036</v>
      </c>
      <c r="F130" s="24">
        <v>49980</v>
      </c>
      <c r="G130" s="28" t="e">
        <f t="shared" si="24"/>
        <v>#REF!</v>
      </c>
      <c r="H130" s="28" t="str">
        <f ca="1">IF(B130&gt;C130,"",SUMIFS(#REF!,#REF!,D130,#REF!,E130,#REF!,"SIM")-SUMIFS(#REF!,#REF!,D130,#REF!,E130,#REF!,"SIM",#REF!,"EXTERIOR"))</f>
        <v/>
      </c>
      <c r="I130" s="28" t="e">
        <f t="shared" si="27"/>
        <v>#REF!</v>
      </c>
      <c r="J130" s="28" t="str">
        <f ca="1">IF(B130&gt;C130,"",IF(B130&gt;C130,0,SUMIFS(#REF!,#REF!,"&lt;"&amp;DATE(E131,D131,1),#REF!,"sim",#REF!,"&lt;&gt;"&amp;"EXTERIOR")))</f>
        <v/>
      </c>
      <c r="K130" s="28" t="e">
        <f t="shared" si="28"/>
        <v>#REF!</v>
      </c>
      <c r="L130" s="28" t="str">
        <f ca="1">IF(B130&gt;C130,"",SUMIFS(#REF!,#REF!,D130,#REF!,E130,#REF!,"INVESTIMENTO",#REF!,"SIM"))</f>
        <v/>
      </c>
      <c r="M130" s="28" t="e">
        <f t="shared" ca="1" si="20"/>
        <v>#REF!</v>
      </c>
      <c r="N130" s="28" t="str">
        <f t="shared" ca="1" si="21"/>
        <v/>
      </c>
      <c r="O130" s="29" t="str">
        <f t="shared" ca="1" si="22"/>
        <v/>
      </c>
      <c r="P130" s="30" t="str">
        <f t="shared" ca="1" si="19"/>
        <v/>
      </c>
    </row>
    <row r="131" spans="1:16" s="49" customFormat="1" ht="20.25" customHeight="1" x14ac:dyDescent="0.2">
      <c r="A131" s="48"/>
      <c r="B131" s="47">
        <f t="shared" ca="1" si="25"/>
        <v>50036</v>
      </c>
      <c r="C131" s="47">
        <f t="shared" ca="1" si="17"/>
        <v>46322</v>
      </c>
      <c r="D131" s="48">
        <f t="shared" si="26"/>
        <v>12</v>
      </c>
      <c r="E131" s="48">
        <f t="shared" si="16"/>
        <v>2036</v>
      </c>
      <c r="F131" s="24">
        <v>50010</v>
      </c>
      <c r="G131" s="28" t="e">
        <f t="shared" si="24"/>
        <v>#REF!</v>
      </c>
      <c r="H131" s="28" t="str">
        <f ca="1">IF(B131&gt;C131,"",SUMIFS(#REF!,#REF!,D131,#REF!,E131,#REF!,"SIM")-SUMIFS(#REF!,#REF!,D131,#REF!,E131,#REF!,"SIM",#REF!,"EXTERIOR"))</f>
        <v/>
      </c>
      <c r="I131" s="28" t="e">
        <f t="shared" si="27"/>
        <v>#REF!</v>
      </c>
      <c r="J131" s="28" t="str">
        <f ca="1">IF(B131&gt;C131,"",IF(B131&gt;C131,0,SUMIFS(#REF!,#REF!,"&lt;"&amp;DATE(E132,D132,1),#REF!,"sim",#REF!,"&lt;&gt;"&amp;"EXTERIOR")))</f>
        <v/>
      </c>
      <c r="K131" s="28" t="e">
        <f t="shared" si="28"/>
        <v>#REF!</v>
      </c>
      <c r="L131" s="28" t="str">
        <f ca="1">IF(B131&gt;C131,"",SUMIFS(#REF!,#REF!,D131,#REF!,E131,#REF!,"INVESTIMENTO",#REF!,"SIM"))</f>
        <v/>
      </c>
      <c r="M131" s="28" t="e">
        <f t="shared" ca="1" si="20"/>
        <v>#REF!</v>
      </c>
      <c r="N131" s="28" t="str">
        <f t="shared" ca="1" si="21"/>
        <v/>
      </c>
      <c r="O131" s="29" t="str">
        <f t="shared" ca="1" si="22"/>
        <v/>
      </c>
      <c r="P131" s="30" t="str">
        <f t="shared" ca="1" si="19"/>
        <v/>
      </c>
    </row>
    <row r="132" spans="1:16" s="49" customFormat="1" ht="20.25" customHeight="1" x14ac:dyDescent="0.2">
      <c r="A132" s="48"/>
      <c r="B132" s="47">
        <f t="shared" ca="1" si="25"/>
        <v>50067</v>
      </c>
      <c r="C132" s="47">
        <f t="shared" ca="1" si="17"/>
        <v>46322</v>
      </c>
      <c r="D132" s="48">
        <f t="shared" si="26"/>
        <v>1</v>
      </c>
      <c r="E132" s="48">
        <f t="shared" si="16"/>
        <v>2037</v>
      </c>
      <c r="F132" s="24">
        <v>50041</v>
      </c>
      <c r="G132" s="28" t="e">
        <f t="shared" si="24"/>
        <v>#REF!</v>
      </c>
      <c r="H132" s="28" t="str">
        <f ca="1">IF(B132&gt;C132,"",SUMIFS(#REF!,#REF!,D132,#REF!,E132,#REF!,"SIM")-SUMIFS(#REF!,#REF!,D132,#REF!,E132,#REF!,"SIM",#REF!,"EXTERIOR"))</f>
        <v/>
      </c>
      <c r="I132" s="28" t="e">
        <f t="shared" si="27"/>
        <v>#REF!</v>
      </c>
      <c r="J132" s="28" t="str">
        <f ca="1">IF(B132&gt;C132,"",IF(B132&gt;C132,0,SUMIFS(#REF!,#REF!,"&lt;"&amp;DATE(E133,D133,1),#REF!,"sim",#REF!,"&lt;&gt;"&amp;"EXTERIOR")))</f>
        <v/>
      </c>
      <c r="K132" s="28" t="e">
        <f t="shared" si="28"/>
        <v>#REF!</v>
      </c>
      <c r="L132" s="28" t="str">
        <f ca="1">IF(B132&gt;C132,"",SUMIFS(#REF!,#REF!,D132,#REF!,E132,#REF!,"INVESTIMENTO",#REF!,"SIM"))</f>
        <v/>
      </c>
      <c r="M132" s="28" t="e">
        <f t="shared" ca="1" si="20"/>
        <v>#REF!</v>
      </c>
      <c r="N132" s="28" t="str">
        <f t="shared" ca="1" si="21"/>
        <v/>
      </c>
      <c r="O132" s="29" t="str">
        <f t="shared" ca="1" si="22"/>
        <v/>
      </c>
      <c r="P132" s="30" t="str">
        <f t="shared" ca="1" si="19"/>
        <v/>
      </c>
    </row>
    <row r="133" spans="1:16" s="49" customFormat="1" ht="20.25" customHeight="1" x14ac:dyDescent="0.2">
      <c r="A133" s="48"/>
      <c r="B133" s="47">
        <f t="shared" ca="1" si="25"/>
        <v>50098</v>
      </c>
      <c r="C133" s="47">
        <f t="shared" ca="1" si="17"/>
        <v>46322</v>
      </c>
      <c r="D133" s="48">
        <f t="shared" si="26"/>
        <v>2</v>
      </c>
      <c r="E133" s="48">
        <f t="shared" si="16"/>
        <v>2037</v>
      </c>
      <c r="F133" s="24">
        <v>50072</v>
      </c>
      <c r="G133" s="28" t="e">
        <f t="shared" si="24"/>
        <v>#REF!</v>
      </c>
      <c r="H133" s="28" t="str">
        <f ca="1">IF(B133&gt;C133,"",SUMIFS(#REF!,#REF!,D133,#REF!,E133,#REF!,"SIM")-SUMIFS(#REF!,#REF!,D133,#REF!,E133,#REF!,"SIM",#REF!,"EXTERIOR"))</f>
        <v/>
      </c>
      <c r="I133" s="28" t="e">
        <f t="shared" si="27"/>
        <v>#REF!</v>
      </c>
      <c r="J133" s="28" t="str">
        <f ca="1">IF(B133&gt;C133,"",IF(B133&gt;C133,0,SUMIFS(#REF!,#REF!,"&lt;"&amp;DATE(E134,D134,1),#REF!,"sim",#REF!,"&lt;&gt;"&amp;"EXTERIOR")))</f>
        <v/>
      </c>
      <c r="K133" s="28" t="e">
        <f t="shared" si="28"/>
        <v>#REF!</v>
      </c>
      <c r="L133" s="28" t="str">
        <f ca="1">IF(B133&gt;C133,"",SUMIFS(#REF!,#REF!,D133,#REF!,E133,#REF!,"INVESTIMENTO",#REF!,"SIM"))</f>
        <v/>
      </c>
      <c r="M133" s="28" t="e">
        <f t="shared" ca="1" si="20"/>
        <v>#REF!</v>
      </c>
      <c r="N133" s="28" t="str">
        <f t="shared" ca="1" si="21"/>
        <v/>
      </c>
      <c r="O133" s="29" t="str">
        <f t="shared" ca="1" si="22"/>
        <v/>
      </c>
      <c r="P133" s="30" t="str">
        <f t="shared" ca="1" si="19"/>
        <v/>
      </c>
    </row>
    <row r="134" spans="1:16" s="49" customFormat="1" ht="20.25" customHeight="1" x14ac:dyDescent="0.2">
      <c r="A134" s="48"/>
      <c r="B134" s="47">
        <f t="shared" ca="1" si="25"/>
        <v>50126</v>
      </c>
      <c r="C134" s="47">
        <f t="shared" ca="1" si="17"/>
        <v>46322</v>
      </c>
      <c r="D134" s="48">
        <f t="shared" si="26"/>
        <v>3</v>
      </c>
      <c r="E134" s="48">
        <f t="shared" si="16"/>
        <v>2037</v>
      </c>
      <c r="F134" s="24">
        <v>50100</v>
      </c>
      <c r="G134" s="28" t="e">
        <f t="shared" si="24"/>
        <v>#REF!</v>
      </c>
      <c r="H134" s="28" t="str">
        <f ca="1">IF(B134&gt;C134,"",SUMIFS(#REF!,#REF!,D134,#REF!,E134,#REF!,"SIM")-SUMIFS(#REF!,#REF!,D134,#REF!,E134,#REF!,"SIM",#REF!,"EXTERIOR"))</f>
        <v/>
      </c>
      <c r="I134" s="28" t="e">
        <f t="shared" si="27"/>
        <v>#REF!</v>
      </c>
      <c r="J134" s="28" t="str">
        <f ca="1">IF(B134&gt;C134,"",IF(B134&gt;C134,0,SUMIFS(#REF!,#REF!,"&lt;"&amp;DATE(E135,D135,1),#REF!,"sim",#REF!,"&lt;&gt;"&amp;"EXTERIOR")))</f>
        <v/>
      </c>
      <c r="K134" s="28" t="e">
        <f t="shared" si="28"/>
        <v>#REF!</v>
      </c>
      <c r="L134" s="28" t="str">
        <f ca="1">IF(B134&gt;C134,"",SUMIFS(#REF!,#REF!,D134,#REF!,E134,#REF!,"INVESTIMENTO",#REF!,"SIM"))</f>
        <v/>
      </c>
      <c r="M134" s="28" t="e">
        <f t="shared" ca="1" si="20"/>
        <v>#REF!</v>
      </c>
      <c r="N134" s="28" t="str">
        <f t="shared" ca="1" si="21"/>
        <v/>
      </c>
      <c r="O134" s="29" t="str">
        <f t="shared" ca="1" si="22"/>
        <v/>
      </c>
      <c r="P134" s="30" t="str">
        <f t="shared" ca="1" si="19"/>
        <v/>
      </c>
    </row>
    <row r="135" spans="1:16" s="49" customFormat="1" ht="20.25" customHeight="1" x14ac:dyDescent="0.2">
      <c r="A135" s="48"/>
      <c r="B135" s="47">
        <f t="shared" ca="1" si="25"/>
        <v>50157</v>
      </c>
      <c r="C135" s="47">
        <f t="shared" ca="1" si="17"/>
        <v>46322</v>
      </c>
      <c r="D135" s="48">
        <f t="shared" si="26"/>
        <v>4</v>
      </c>
      <c r="E135" s="48">
        <f t="shared" si="16"/>
        <v>2037</v>
      </c>
      <c r="F135" s="24">
        <v>50131</v>
      </c>
      <c r="G135" s="28" t="e">
        <f t="shared" si="24"/>
        <v>#REF!</v>
      </c>
      <c r="H135" s="28" t="str">
        <f ca="1">IF(B135&gt;C135,"",SUMIFS(#REF!,#REF!,D135,#REF!,E135,#REF!,"SIM")-SUMIFS(#REF!,#REF!,D135,#REF!,E135,#REF!,"SIM",#REF!,"EXTERIOR"))</f>
        <v/>
      </c>
      <c r="I135" s="28" t="e">
        <f t="shared" si="27"/>
        <v>#REF!</v>
      </c>
      <c r="J135" s="28" t="str">
        <f ca="1">IF(B135&gt;C135,"",IF(B135&gt;C135,0,SUMIFS(#REF!,#REF!,"&lt;"&amp;DATE(E136,D136,1),#REF!,"sim",#REF!,"&lt;&gt;"&amp;"EXTERIOR")))</f>
        <v/>
      </c>
      <c r="K135" s="28" t="e">
        <f t="shared" si="28"/>
        <v>#REF!</v>
      </c>
      <c r="L135" s="28" t="str">
        <f ca="1">IF(B135&gt;C135,"",SUMIFS(#REF!,#REF!,D135,#REF!,E135,#REF!,"INVESTIMENTO",#REF!,"SIM"))</f>
        <v/>
      </c>
      <c r="M135" s="28" t="e">
        <f t="shared" ca="1" si="20"/>
        <v>#REF!</v>
      </c>
      <c r="N135" s="28" t="str">
        <f t="shared" ca="1" si="21"/>
        <v/>
      </c>
      <c r="O135" s="29" t="str">
        <f t="shared" ca="1" si="22"/>
        <v/>
      </c>
      <c r="P135" s="30" t="str">
        <f t="shared" ca="1" si="19"/>
        <v/>
      </c>
    </row>
    <row r="136" spans="1:16" s="49" customFormat="1" ht="20.25" customHeight="1" x14ac:dyDescent="0.2">
      <c r="A136" s="48"/>
      <c r="B136" s="47">
        <f t="shared" ca="1" si="25"/>
        <v>50187</v>
      </c>
      <c r="C136" s="47">
        <f t="shared" ca="1" si="17"/>
        <v>46322</v>
      </c>
      <c r="D136" s="48">
        <f t="shared" si="26"/>
        <v>5</v>
      </c>
      <c r="E136" s="48">
        <f t="shared" si="16"/>
        <v>2037</v>
      </c>
      <c r="F136" s="24">
        <v>50161</v>
      </c>
      <c r="G136" s="28" t="e">
        <f t="shared" si="24"/>
        <v>#REF!</v>
      </c>
      <c r="H136" s="28" t="str">
        <f ca="1">IF(B136&gt;C136,"",SUMIFS(#REF!,#REF!,D136,#REF!,E136,#REF!,"SIM")-SUMIFS(#REF!,#REF!,D136,#REF!,E136,#REF!,"SIM",#REF!,"EXTERIOR"))</f>
        <v/>
      </c>
      <c r="I136" s="28" t="e">
        <f t="shared" si="27"/>
        <v>#REF!</v>
      </c>
      <c r="J136" s="28" t="str">
        <f ca="1">IF(B136&gt;C136,"",IF(B136&gt;C136,0,SUMIFS(#REF!,#REF!,"&lt;"&amp;DATE(E137,D137,1),#REF!,"sim",#REF!,"&lt;&gt;"&amp;"EXTERIOR")))</f>
        <v/>
      </c>
      <c r="K136" s="28" t="e">
        <f t="shared" si="28"/>
        <v>#REF!</v>
      </c>
      <c r="L136" s="28" t="str">
        <f ca="1">IF(B136&gt;C136,"",SUMIFS(#REF!,#REF!,D136,#REF!,E136,#REF!,"INVESTIMENTO",#REF!,"SIM"))</f>
        <v/>
      </c>
      <c r="M136" s="28" t="e">
        <f t="shared" ca="1" si="20"/>
        <v>#REF!</v>
      </c>
      <c r="N136" s="28" t="str">
        <f t="shared" ca="1" si="21"/>
        <v/>
      </c>
      <c r="O136" s="29" t="str">
        <f t="shared" ca="1" si="22"/>
        <v/>
      </c>
      <c r="P136" s="30" t="str">
        <f t="shared" ca="1" si="19"/>
        <v/>
      </c>
    </row>
    <row r="137" spans="1:16" s="49" customFormat="1" ht="20.25" customHeight="1" x14ac:dyDescent="0.2">
      <c r="A137" s="48"/>
      <c r="B137" s="47">
        <f t="shared" ca="1" si="25"/>
        <v>50218</v>
      </c>
      <c r="C137" s="47">
        <f t="shared" ca="1" si="17"/>
        <v>46322</v>
      </c>
      <c r="D137" s="48">
        <f t="shared" ref="D137:D168" si="29">MONTH(F137)</f>
        <v>6</v>
      </c>
      <c r="E137" s="48">
        <f t="shared" ref="E137:E186" si="30">YEAR(F137)</f>
        <v>2037</v>
      </c>
      <c r="F137" s="24">
        <v>50192</v>
      </c>
      <c r="G137" s="28" t="e">
        <f t="shared" si="24"/>
        <v>#REF!</v>
      </c>
      <c r="H137" s="28" t="str">
        <f ca="1">IF(B137&gt;C137,"",SUMIFS(#REF!,#REF!,D137,#REF!,E137,#REF!,"SIM")-SUMIFS(#REF!,#REF!,D137,#REF!,E137,#REF!,"SIM",#REF!,"EXTERIOR"))</f>
        <v/>
      </c>
      <c r="I137" s="28" t="e">
        <f t="shared" si="27"/>
        <v>#REF!</v>
      </c>
      <c r="J137" s="28" t="str">
        <f ca="1">IF(B137&gt;C137,"",IF(B137&gt;C137,0,SUMIFS(#REF!,#REF!,"&lt;"&amp;DATE(E138,D138,1),#REF!,"sim",#REF!,"&lt;&gt;"&amp;"EXTERIOR")))</f>
        <v/>
      </c>
      <c r="K137" s="28" t="e">
        <f t="shared" si="28"/>
        <v>#REF!</v>
      </c>
      <c r="L137" s="28" t="str">
        <f ca="1">IF(B137&gt;C137,"",SUMIFS(#REF!,#REF!,D137,#REF!,E137,#REF!,"INVESTIMENTO",#REF!,"SIM"))</f>
        <v/>
      </c>
      <c r="M137" s="28" t="e">
        <f t="shared" ca="1" si="20"/>
        <v>#REF!</v>
      </c>
      <c r="N137" s="28" t="str">
        <f t="shared" ca="1" si="21"/>
        <v/>
      </c>
      <c r="O137" s="29" t="str">
        <f t="shared" ca="1" si="22"/>
        <v/>
      </c>
      <c r="P137" s="30" t="str">
        <f t="shared" ca="1" si="19"/>
        <v/>
      </c>
    </row>
    <row r="138" spans="1:16" s="49" customFormat="1" ht="20.25" customHeight="1" x14ac:dyDescent="0.2">
      <c r="A138" s="48"/>
      <c r="B138" s="47">
        <f t="shared" ca="1" si="25"/>
        <v>50248</v>
      </c>
      <c r="C138" s="47">
        <f t="shared" ref="C138:C186" ca="1" si="31">TODAY()</f>
        <v>46322</v>
      </c>
      <c r="D138" s="48">
        <f t="shared" si="29"/>
        <v>7</v>
      </c>
      <c r="E138" s="48">
        <f t="shared" si="30"/>
        <v>2037</v>
      </c>
      <c r="F138" s="24">
        <v>50222</v>
      </c>
      <c r="G138" s="28" t="e">
        <f t="shared" si="24"/>
        <v>#REF!</v>
      </c>
      <c r="H138" s="28" t="str">
        <f ca="1">IF(B138&gt;C138,"",SUMIFS(#REF!,#REF!,D138,#REF!,E138,#REF!,"SIM")-SUMIFS(#REF!,#REF!,D138,#REF!,E138,#REF!,"SIM",#REF!,"EXTERIOR"))</f>
        <v/>
      </c>
      <c r="I138" s="28" t="e">
        <f t="shared" ref="I138:I169" si="32">G138+I137</f>
        <v>#REF!</v>
      </c>
      <c r="J138" s="28" t="str">
        <f ca="1">IF(B138&gt;C138,"",IF(B138&gt;C138,0,SUMIFS(#REF!,#REF!,"&lt;"&amp;DATE(E139,D139,1),#REF!,"sim",#REF!,"&lt;&gt;"&amp;"EXTERIOR")))</f>
        <v/>
      </c>
      <c r="K138" s="28" t="e">
        <f t="shared" si="28"/>
        <v>#REF!</v>
      </c>
      <c r="L138" s="28" t="str">
        <f ca="1">IF(B138&gt;C138,"",SUMIFS(#REF!,#REF!,D138,#REF!,E138,#REF!,"INVESTIMENTO",#REF!,"SIM"))</f>
        <v/>
      </c>
      <c r="M138" s="28" t="e">
        <f t="shared" ca="1" si="20"/>
        <v>#REF!</v>
      </c>
      <c r="N138" s="28" t="str">
        <f t="shared" ca="1" si="21"/>
        <v/>
      </c>
      <c r="O138" s="29" t="str">
        <f t="shared" ca="1" si="22"/>
        <v/>
      </c>
      <c r="P138" s="30" t="str">
        <f t="shared" ref="P138:P186" ca="1" si="33">IF(B138&gt;C138,"","OK")</f>
        <v/>
      </c>
    </row>
    <row r="139" spans="1:16" s="49" customFormat="1" ht="20.25" customHeight="1" x14ac:dyDescent="0.2">
      <c r="A139" s="48"/>
      <c r="B139" s="47">
        <f t="shared" ca="1" si="25"/>
        <v>50279</v>
      </c>
      <c r="C139" s="47">
        <f t="shared" ca="1" si="31"/>
        <v>46322</v>
      </c>
      <c r="D139" s="48">
        <f t="shared" si="29"/>
        <v>8</v>
      </c>
      <c r="E139" s="48">
        <f t="shared" si="30"/>
        <v>2037</v>
      </c>
      <c r="F139" s="24">
        <v>50253</v>
      </c>
      <c r="G139" s="28" t="e">
        <f t="shared" si="24"/>
        <v>#REF!</v>
      </c>
      <c r="H139" s="28" t="str">
        <f ca="1">IF(B139&gt;C139,"",SUMIFS(#REF!,#REF!,D139,#REF!,E139,#REF!,"SIM")-SUMIFS(#REF!,#REF!,D139,#REF!,E139,#REF!,"SIM",#REF!,"EXTERIOR"))</f>
        <v/>
      </c>
      <c r="I139" s="28" t="e">
        <f t="shared" si="32"/>
        <v>#REF!</v>
      </c>
      <c r="J139" s="28" t="str">
        <f ca="1">IF(B139&gt;C139,"",IF(B139&gt;C139,0,SUMIFS(#REF!,#REF!,"&lt;"&amp;DATE(E140,D140,1),#REF!,"sim",#REF!,"&lt;&gt;"&amp;"EXTERIOR")))</f>
        <v/>
      </c>
      <c r="K139" s="28" t="e">
        <f t="shared" si="28"/>
        <v>#REF!</v>
      </c>
      <c r="L139" s="28" t="str">
        <f ca="1">IF(B139&gt;C139,"",SUMIFS(#REF!,#REF!,D139,#REF!,E139,#REF!,"INVESTIMENTO",#REF!,"SIM"))</f>
        <v/>
      </c>
      <c r="M139" s="28" t="e">
        <f t="shared" ref="M139:M186" ca="1" si="34">K139+M138</f>
        <v>#REF!</v>
      </c>
      <c r="N139" s="28" t="str">
        <f t="shared" ref="N139:N186" ca="1" si="35">IFERROR(IF(L139=0,0,L139+N138),"")</f>
        <v/>
      </c>
      <c r="O139" s="29" t="str">
        <f t="shared" ref="O139:O186" ca="1" si="36">IFERROR(IF(L139=0,"",L139/J138),"")</f>
        <v/>
      </c>
      <c r="P139" s="30" t="str">
        <f t="shared" ca="1" si="33"/>
        <v/>
      </c>
    </row>
    <row r="140" spans="1:16" s="49" customFormat="1" ht="20.25" customHeight="1" x14ac:dyDescent="0.2">
      <c r="A140" s="48"/>
      <c r="B140" s="47">
        <f t="shared" ca="1" si="25"/>
        <v>50310</v>
      </c>
      <c r="C140" s="47">
        <f t="shared" ca="1" si="31"/>
        <v>46322</v>
      </c>
      <c r="D140" s="48">
        <f t="shared" si="29"/>
        <v>9</v>
      </c>
      <c r="E140" s="48">
        <f t="shared" si="30"/>
        <v>2037</v>
      </c>
      <c r="F140" s="24">
        <v>50284</v>
      </c>
      <c r="G140" s="28" t="e">
        <f t="shared" si="24"/>
        <v>#REF!</v>
      </c>
      <c r="H140" s="28" t="str">
        <f ca="1">IF(B140&gt;C140,"",SUMIFS(#REF!,#REF!,D140,#REF!,E140,#REF!,"SIM")-SUMIFS(#REF!,#REF!,D140,#REF!,E140,#REF!,"SIM",#REF!,"EXTERIOR"))</f>
        <v/>
      </c>
      <c r="I140" s="28" t="e">
        <f t="shared" si="32"/>
        <v>#REF!</v>
      </c>
      <c r="J140" s="28" t="str">
        <f ca="1">IF(B140&gt;C140,"",IF(B140&gt;C140,0,SUMIFS(#REF!,#REF!,"&lt;"&amp;DATE(E141,D141,1),#REF!,"sim",#REF!,"&lt;&gt;"&amp;"EXTERIOR")))</f>
        <v/>
      </c>
      <c r="K140" s="28" t="e">
        <f t="shared" si="28"/>
        <v>#REF!</v>
      </c>
      <c r="L140" s="28" t="str">
        <f ca="1">IF(B140&gt;C140,"",SUMIFS(#REF!,#REF!,D140,#REF!,E140,#REF!,"INVESTIMENTO",#REF!,"SIM"))</f>
        <v/>
      </c>
      <c r="M140" s="28" t="e">
        <f t="shared" ca="1" si="34"/>
        <v>#REF!</v>
      </c>
      <c r="N140" s="28" t="str">
        <f t="shared" ca="1" si="35"/>
        <v/>
      </c>
      <c r="O140" s="29" t="str">
        <f t="shared" ca="1" si="36"/>
        <v/>
      </c>
      <c r="P140" s="30" t="str">
        <f t="shared" ca="1" si="33"/>
        <v/>
      </c>
    </row>
    <row r="141" spans="1:16" s="49" customFormat="1" ht="20.25" customHeight="1" x14ac:dyDescent="0.2">
      <c r="A141" s="48"/>
      <c r="B141" s="47">
        <f t="shared" ca="1" si="25"/>
        <v>50340</v>
      </c>
      <c r="C141" s="47">
        <f t="shared" ca="1" si="31"/>
        <v>46322</v>
      </c>
      <c r="D141" s="48">
        <f t="shared" si="29"/>
        <v>10</v>
      </c>
      <c r="E141" s="48">
        <f t="shared" si="30"/>
        <v>2037</v>
      </c>
      <c r="F141" s="24">
        <v>50314</v>
      </c>
      <c r="G141" s="28" t="e">
        <f t="shared" si="24"/>
        <v>#REF!</v>
      </c>
      <c r="H141" s="28" t="str">
        <f ca="1">IF(B141&gt;C141,"",SUMIFS(#REF!,#REF!,D141,#REF!,E141,#REF!,"SIM")-SUMIFS(#REF!,#REF!,D141,#REF!,E141,#REF!,"SIM",#REF!,"EXTERIOR"))</f>
        <v/>
      </c>
      <c r="I141" s="28" t="e">
        <f t="shared" si="32"/>
        <v>#REF!</v>
      </c>
      <c r="J141" s="28" t="str">
        <f ca="1">IF(B141&gt;C141,"",IF(B141&gt;C141,0,SUMIFS(#REF!,#REF!,"&lt;"&amp;DATE(E142,D142,1),#REF!,"sim",#REF!,"&lt;&gt;"&amp;"EXTERIOR")))</f>
        <v/>
      </c>
      <c r="K141" s="28" t="e">
        <f t="shared" ref="K141:K172" si="37">I140*$M$3</f>
        <v>#REF!</v>
      </c>
      <c r="L141" s="28" t="str">
        <f ca="1">IF(B141&gt;C141,"",SUMIFS(#REF!,#REF!,D141,#REF!,E141,#REF!,"INVESTIMENTO",#REF!,"SIM"))</f>
        <v/>
      </c>
      <c r="M141" s="28" t="e">
        <f t="shared" ca="1" si="34"/>
        <v>#REF!</v>
      </c>
      <c r="N141" s="28" t="str">
        <f t="shared" ca="1" si="35"/>
        <v/>
      </c>
      <c r="O141" s="29" t="str">
        <f t="shared" ca="1" si="36"/>
        <v/>
      </c>
      <c r="P141" s="30" t="str">
        <f t="shared" ca="1" si="33"/>
        <v/>
      </c>
    </row>
    <row r="142" spans="1:16" s="49" customFormat="1" ht="20.25" customHeight="1" x14ac:dyDescent="0.2">
      <c r="A142" s="48"/>
      <c r="B142" s="47">
        <f t="shared" ca="1" si="25"/>
        <v>50371</v>
      </c>
      <c r="C142" s="47">
        <f t="shared" ca="1" si="31"/>
        <v>46322</v>
      </c>
      <c r="D142" s="48">
        <f t="shared" si="29"/>
        <v>11</v>
      </c>
      <c r="E142" s="48">
        <f t="shared" si="30"/>
        <v>2037</v>
      </c>
      <c r="F142" s="24">
        <v>50345</v>
      </c>
      <c r="G142" s="28" t="e">
        <f t="shared" si="24"/>
        <v>#REF!</v>
      </c>
      <c r="H142" s="28" t="str">
        <f ca="1">IF(B142&gt;C142,"",SUMIFS(#REF!,#REF!,D142,#REF!,E142,#REF!,"SIM")-SUMIFS(#REF!,#REF!,D142,#REF!,E142,#REF!,"SIM",#REF!,"EXTERIOR"))</f>
        <v/>
      </c>
      <c r="I142" s="28" t="e">
        <f t="shared" si="32"/>
        <v>#REF!</v>
      </c>
      <c r="J142" s="28" t="str">
        <f ca="1">IF(B142&gt;C142,"",IF(B142&gt;C142,0,SUMIFS(#REF!,#REF!,"&lt;"&amp;DATE(E143,D143,1),#REF!,"sim",#REF!,"&lt;&gt;"&amp;"EXTERIOR")))</f>
        <v/>
      </c>
      <c r="K142" s="28" t="e">
        <f t="shared" si="37"/>
        <v>#REF!</v>
      </c>
      <c r="L142" s="28" t="str">
        <f ca="1">IF(B142&gt;C142,"",SUMIFS(#REF!,#REF!,D142,#REF!,E142,#REF!,"INVESTIMENTO",#REF!,"SIM"))</f>
        <v/>
      </c>
      <c r="M142" s="28" t="e">
        <f t="shared" ca="1" si="34"/>
        <v>#REF!</v>
      </c>
      <c r="N142" s="28" t="str">
        <f t="shared" ca="1" si="35"/>
        <v/>
      </c>
      <c r="O142" s="29" t="str">
        <f t="shared" ca="1" si="36"/>
        <v/>
      </c>
      <c r="P142" s="30" t="str">
        <f t="shared" ca="1" si="33"/>
        <v/>
      </c>
    </row>
    <row r="143" spans="1:16" s="49" customFormat="1" ht="20.25" customHeight="1" x14ac:dyDescent="0.2">
      <c r="A143" s="48"/>
      <c r="B143" s="47">
        <f t="shared" ca="1" si="25"/>
        <v>50401</v>
      </c>
      <c r="C143" s="47">
        <f t="shared" ca="1" si="31"/>
        <v>46322</v>
      </c>
      <c r="D143" s="48">
        <f t="shared" si="29"/>
        <v>12</v>
      </c>
      <c r="E143" s="48">
        <f t="shared" si="30"/>
        <v>2037</v>
      </c>
      <c r="F143" s="24">
        <v>50375</v>
      </c>
      <c r="G143" s="28" t="e">
        <f t="shared" ref="G143:G186" si="38">3000+K143</f>
        <v>#REF!</v>
      </c>
      <c r="H143" s="28" t="str">
        <f ca="1">IF(B143&gt;C143,"",SUMIFS(#REF!,#REF!,D143,#REF!,E143,#REF!,"SIM")-SUMIFS(#REF!,#REF!,D143,#REF!,E143,#REF!,"SIM",#REF!,"EXTERIOR"))</f>
        <v/>
      </c>
      <c r="I143" s="28" t="e">
        <f t="shared" si="32"/>
        <v>#REF!</v>
      </c>
      <c r="J143" s="28" t="str">
        <f ca="1">IF(B143&gt;C143,"",IF(B143&gt;C143,0,SUMIFS(#REF!,#REF!,"&lt;"&amp;DATE(E144,D144,1),#REF!,"sim",#REF!,"&lt;&gt;"&amp;"EXTERIOR")))</f>
        <v/>
      </c>
      <c r="K143" s="28" t="e">
        <f t="shared" si="37"/>
        <v>#REF!</v>
      </c>
      <c r="L143" s="28" t="str">
        <f ca="1">IF(B143&gt;C143,"",SUMIFS(#REF!,#REF!,D143,#REF!,E143,#REF!,"INVESTIMENTO",#REF!,"SIM"))</f>
        <v/>
      </c>
      <c r="M143" s="28" t="e">
        <f t="shared" ca="1" si="34"/>
        <v>#REF!</v>
      </c>
      <c r="N143" s="28" t="str">
        <f t="shared" ca="1" si="35"/>
        <v/>
      </c>
      <c r="O143" s="29" t="str">
        <f t="shared" ca="1" si="36"/>
        <v/>
      </c>
      <c r="P143" s="30" t="str">
        <f t="shared" ca="1" si="33"/>
        <v/>
      </c>
    </row>
    <row r="144" spans="1:16" s="49" customFormat="1" ht="20.25" customHeight="1" x14ac:dyDescent="0.2">
      <c r="A144" s="48"/>
      <c r="B144" s="47">
        <f t="shared" ca="1" si="25"/>
        <v>50432</v>
      </c>
      <c r="C144" s="47">
        <f t="shared" ca="1" si="31"/>
        <v>46322</v>
      </c>
      <c r="D144" s="48">
        <f t="shared" si="29"/>
        <v>1</v>
      </c>
      <c r="E144" s="48">
        <f t="shared" si="30"/>
        <v>2038</v>
      </c>
      <c r="F144" s="24">
        <v>50406</v>
      </c>
      <c r="G144" s="28" t="e">
        <f t="shared" si="38"/>
        <v>#REF!</v>
      </c>
      <c r="H144" s="28" t="str">
        <f ca="1">IF(B144&gt;C144,"",SUMIFS(#REF!,#REF!,D144,#REF!,E144,#REF!,"SIM")-SUMIFS(#REF!,#REF!,D144,#REF!,E144,#REF!,"SIM",#REF!,"EXTERIOR"))</f>
        <v/>
      </c>
      <c r="I144" s="28" t="e">
        <f t="shared" si="32"/>
        <v>#REF!</v>
      </c>
      <c r="J144" s="28" t="str">
        <f ca="1">IF(B144&gt;C144,"",IF(B144&gt;C144,0,SUMIFS(#REF!,#REF!,"&lt;"&amp;DATE(E145,D145,1),#REF!,"sim",#REF!,"&lt;&gt;"&amp;"EXTERIOR")))</f>
        <v/>
      </c>
      <c r="K144" s="28" t="e">
        <f t="shared" si="37"/>
        <v>#REF!</v>
      </c>
      <c r="L144" s="28" t="str">
        <f ca="1">IF(B144&gt;C144,"",SUMIFS(#REF!,#REF!,D144,#REF!,E144,#REF!,"INVESTIMENTO",#REF!,"SIM"))</f>
        <v/>
      </c>
      <c r="M144" s="28" t="e">
        <f t="shared" ca="1" si="34"/>
        <v>#REF!</v>
      </c>
      <c r="N144" s="28" t="str">
        <f t="shared" ca="1" si="35"/>
        <v/>
      </c>
      <c r="O144" s="29" t="str">
        <f t="shared" ca="1" si="36"/>
        <v/>
      </c>
      <c r="P144" s="30" t="str">
        <f t="shared" ca="1" si="33"/>
        <v/>
      </c>
    </row>
    <row r="145" spans="1:16" s="49" customFormat="1" ht="20.25" customHeight="1" x14ac:dyDescent="0.2">
      <c r="A145" s="48"/>
      <c r="B145" s="47">
        <f t="shared" ca="1" si="25"/>
        <v>50463</v>
      </c>
      <c r="C145" s="47">
        <f t="shared" ca="1" si="31"/>
        <v>46322</v>
      </c>
      <c r="D145" s="48">
        <f t="shared" si="29"/>
        <v>2</v>
      </c>
      <c r="E145" s="48">
        <f t="shared" si="30"/>
        <v>2038</v>
      </c>
      <c r="F145" s="24">
        <v>50437</v>
      </c>
      <c r="G145" s="28" t="e">
        <f t="shared" si="38"/>
        <v>#REF!</v>
      </c>
      <c r="H145" s="28" t="str">
        <f ca="1">IF(B145&gt;C145,"",SUMIFS(#REF!,#REF!,D145,#REF!,E145,#REF!,"SIM")-SUMIFS(#REF!,#REF!,D145,#REF!,E145,#REF!,"SIM",#REF!,"EXTERIOR"))</f>
        <v/>
      </c>
      <c r="I145" s="28" t="e">
        <f t="shared" si="32"/>
        <v>#REF!</v>
      </c>
      <c r="J145" s="28" t="str">
        <f ca="1">IF(B145&gt;C145,"",IF(B145&gt;C145,0,SUMIFS(#REF!,#REF!,"&lt;"&amp;DATE(E146,D146,1),#REF!,"sim",#REF!,"&lt;&gt;"&amp;"EXTERIOR")))</f>
        <v/>
      </c>
      <c r="K145" s="28" t="e">
        <f t="shared" si="37"/>
        <v>#REF!</v>
      </c>
      <c r="L145" s="28" t="str">
        <f ca="1">IF(B145&gt;C145,"",SUMIFS(#REF!,#REF!,D145,#REF!,E145,#REF!,"INVESTIMENTO",#REF!,"SIM"))</f>
        <v/>
      </c>
      <c r="M145" s="28" t="e">
        <f t="shared" ca="1" si="34"/>
        <v>#REF!</v>
      </c>
      <c r="N145" s="28" t="str">
        <f t="shared" ca="1" si="35"/>
        <v/>
      </c>
      <c r="O145" s="29" t="str">
        <f t="shared" ca="1" si="36"/>
        <v/>
      </c>
      <c r="P145" s="30" t="str">
        <f t="shared" ca="1" si="33"/>
        <v/>
      </c>
    </row>
    <row r="146" spans="1:16" s="49" customFormat="1" ht="20.25" customHeight="1" x14ac:dyDescent="0.2">
      <c r="A146" s="48"/>
      <c r="B146" s="47">
        <f t="shared" ca="1" si="25"/>
        <v>50491</v>
      </c>
      <c r="C146" s="47">
        <f t="shared" ca="1" si="31"/>
        <v>46322</v>
      </c>
      <c r="D146" s="48">
        <f t="shared" si="29"/>
        <v>3</v>
      </c>
      <c r="E146" s="48">
        <f t="shared" si="30"/>
        <v>2038</v>
      </c>
      <c r="F146" s="24">
        <v>50465</v>
      </c>
      <c r="G146" s="28" t="e">
        <f t="shared" si="38"/>
        <v>#REF!</v>
      </c>
      <c r="H146" s="28" t="str">
        <f ca="1">IF(B146&gt;C146,"",SUMIFS(#REF!,#REF!,D146,#REF!,E146,#REF!,"SIM")-SUMIFS(#REF!,#REF!,D146,#REF!,E146,#REF!,"SIM",#REF!,"EXTERIOR"))</f>
        <v/>
      </c>
      <c r="I146" s="28" t="e">
        <f t="shared" si="32"/>
        <v>#REF!</v>
      </c>
      <c r="J146" s="28" t="str">
        <f ca="1">IF(B146&gt;C146,"",IF(B146&gt;C146,0,SUMIFS(#REF!,#REF!,"&lt;"&amp;DATE(E147,D147,1),#REF!,"sim",#REF!,"&lt;&gt;"&amp;"EXTERIOR")))</f>
        <v/>
      </c>
      <c r="K146" s="28" t="e">
        <f t="shared" si="37"/>
        <v>#REF!</v>
      </c>
      <c r="L146" s="28" t="str">
        <f ca="1">IF(B146&gt;C146,"",SUMIFS(#REF!,#REF!,D146,#REF!,E146,#REF!,"INVESTIMENTO",#REF!,"SIM"))</f>
        <v/>
      </c>
      <c r="M146" s="28" t="e">
        <f t="shared" ca="1" si="34"/>
        <v>#REF!</v>
      </c>
      <c r="N146" s="28" t="str">
        <f t="shared" ca="1" si="35"/>
        <v/>
      </c>
      <c r="O146" s="29" t="str">
        <f t="shared" ca="1" si="36"/>
        <v/>
      </c>
      <c r="P146" s="30" t="str">
        <f t="shared" ca="1" si="33"/>
        <v/>
      </c>
    </row>
    <row r="147" spans="1:16" s="49" customFormat="1" ht="20.25" customHeight="1" x14ac:dyDescent="0.2">
      <c r="A147" s="48"/>
      <c r="B147" s="47">
        <f t="shared" ca="1" si="25"/>
        <v>50522</v>
      </c>
      <c r="C147" s="47">
        <f t="shared" ca="1" si="31"/>
        <v>46322</v>
      </c>
      <c r="D147" s="48">
        <f t="shared" si="29"/>
        <v>4</v>
      </c>
      <c r="E147" s="48">
        <f t="shared" si="30"/>
        <v>2038</v>
      </c>
      <c r="F147" s="24">
        <v>50496</v>
      </c>
      <c r="G147" s="28" t="e">
        <f t="shared" si="38"/>
        <v>#REF!</v>
      </c>
      <c r="H147" s="28" t="str">
        <f ca="1">IF(B147&gt;C147,"",SUMIFS(#REF!,#REF!,D147,#REF!,E147,#REF!,"SIM")-SUMIFS(#REF!,#REF!,D147,#REF!,E147,#REF!,"SIM",#REF!,"EXTERIOR"))</f>
        <v/>
      </c>
      <c r="I147" s="28" t="e">
        <f t="shared" si="32"/>
        <v>#REF!</v>
      </c>
      <c r="J147" s="28" t="str">
        <f ca="1">IF(B147&gt;C147,"",IF(B147&gt;C147,0,SUMIFS(#REF!,#REF!,"&lt;"&amp;DATE(E148,D148,1),#REF!,"sim",#REF!,"&lt;&gt;"&amp;"EXTERIOR")))</f>
        <v/>
      </c>
      <c r="K147" s="28" t="e">
        <f t="shared" si="37"/>
        <v>#REF!</v>
      </c>
      <c r="L147" s="28" t="str">
        <f ca="1">IF(B147&gt;C147,"",SUMIFS(#REF!,#REF!,D147,#REF!,E147,#REF!,"INVESTIMENTO",#REF!,"SIM"))</f>
        <v/>
      </c>
      <c r="M147" s="28" t="e">
        <f t="shared" ca="1" si="34"/>
        <v>#REF!</v>
      </c>
      <c r="N147" s="28" t="str">
        <f t="shared" ca="1" si="35"/>
        <v/>
      </c>
      <c r="O147" s="29" t="str">
        <f t="shared" ca="1" si="36"/>
        <v/>
      </c>
      <c r="P147" s="30" t="str">
        <f t="shared" ca="1" si="33"/>
        <v/>
      </c>
    </row>
    <row r="148" spans="1:16" s="49" customFormat="1" ht="20.25" customHeight="1" x14ac:dyDescent="0.2">
      <c r="A148" s="48"/>
      <c r="B148" s="47">
        <f t="shared" ca="1" si="25"/>
        <v>50552</v>
      </c>
      <c r="C148" s="47">
        <f t="shared" ca="1" si="31"/>
        <v>46322</v>
      </c>
      <c r="D148" s="48">
        <f t="shared" si="29"/>
        <v>5</v>
      </c>
      <c r="E148" s="48">
        <f t="shared" si="30"/>
        <v>2038</v>
      </c>
      <c r="F148" s="24">
        <v>50526</v>
      </c>
      <c r="G148" s="28" t="e">
        <f t="shared" si="38"/>
        <v>#REF!</v>
      </c>
      <c r="H148" s="28" t="str">
        <f ca="1">IF(B148&gt;C148,"",SUMIFS(#REF!,#REF!,D148,#REF!,E148,#REF!,"SIM")-SUMIFS(#REF!,#REF!,D148,#REF!,E148,#REF!,"SIM",#REF!,"EXTERIOR"))</f>
        <v/>
      </c>
      <c r="I148" s="28" t="e">
        <f t="shared" si="32"/>
        <v>#REF!</v>
      </c>
      <c r="J148" s="28" t="str">
        <f ca="1">IF(B148&gt;C148,"",IF(B148&gt;C148,0,SUMIFS(#REF!,#REF!,"&lt;"&amp;DATE(E149,D149,1),#REF!,"sim",#REF!,"&lt;&gt;"&amp;"EXTERIOR")))</f>
        <v/>
      </c>
      <c r="K148" s="28" t="e">
        <f t="shared" si="37"/>
        <v>#REF!</v>
      </c>
      <c r="L148" s="28" t="str">
        <f ca="1">IF(B148&gt;C148,"",SUMIFS(#REF!,#REF!,D148,#REF!,E148,#REF!,"INVESTIMENTO",#REF!,"SIM"))</f>
        <v/>
      </c>
      <c r="M148" s="28" t="e">
        <f t="shared" ca="1" si="34"/>
        <v>#REF!</v>
      </c>
      <c r="N148" s="28" t="str">
        <f t="shared" ca="1" si="35"/>
        <v/>
      </c>
      <c r="O148" s="29" t="str">
        <f t="shared" ca="1" si="36"/>
        <v/>
      </c>
      <c r="P148" s="30" t="str">
        <f t="shared" ca="1" si="33"/>
        <v/>
      </c>
    </row>
    <row r="149" spans="1:16" s="49" customFormat="1" ht="20.25" customHeight="1" x14ac:dyDescent="0.2">
      <c r="A149" s="48"/>
      <c r="B149" s="47">
        <f t="shared" ca="1" si="25"/>
        <v>50583</v>
      </c>
      <c r="C149" s="47">
        <f t="shared" ca="1" si="31"/>
        <v>46322</v>
      </c>
      <c r="D149" s="48">
        <f t="shared" si="29"/>
        <v>6</v>
      </c>
      <c r="E149" s="48">
        <f t="shared" si="30"/>
        <v>2038</v>
      </c>
      <c r="F149" s="24">
        <v>50557</v>
      </c>
      <c r="G149" s="28" t="e">
        <f t="shared" si="38"/>
        <v>#REF!</v>
      </c>
      <c r="H149" s="28" t="str">
        <f ca="1">IF(B149&gt;C149,"",SUMIFS(#REF!,#REF!,D149,#REF!,E149,#REF!,"SIM")-SUMIFS(#REF!,#REF!,D149,#REF!,E149,#REF!,"SIM",#REF!,"EXTERIOR"))</f>
        <v/>
      </c>
      <c r="I149" s="28" t="e">
        <f t="shared" si="32"/>
        <v>#REF!</v>
      </c>
      <c r="J149" s="28" t="str">
        <f ca="1">IF(B149&gt;C149,"",IF(B149&gt;C149,0,SUMIFS(#REF!,#REF!,"&lt;"&amp;DATE(E150,D150,1),#REF!,"sim",#REF!,"&lt;&gt;"&amp;"EXTERIOR")))</f>
        <v/>
      </c>
      <c r="K149" s="28" t="e">
        <f t="shared" si="37"/>
        <v>#REF!</v>
      </c>
      <c r="L149" s="28" t="str">
        <f ca="1">IF(B149&gt;C149,"",SUMIFS(#REF!,#REF!,D149,#REF!,E149,#REF!,"INVESTIMENTO",#REF!,"SIM"))</f>
        <v/>
      </c>
      <c r="M149" s="28" t="e">
        <f t="shared" ca="1" si="34"/>
        <v>#REF!</v>
      </c>
      <c r="N149" s="28" t="str">
        <f t="shared" ca="1" si="35"/>
        <v/>
      </c>
      <c r="O149" s="29" t="str">
        <f t="shared" ca="1" si="36"/>
        <v/>
      </c>
      <c r="P149" s="30" t="str">
        <f t="shared" ca="1" si="33"/>
        <v/>
      </c>
    </row>
    <row r="150" spans="1:16" s="49" customFormat="1" ht="20.25" customHeight="1" x14ac:dyDescent="0.2">
      <c r="A150" s="48"/>
      <c r="B150" s="47">
        <f t="shared" ca="1" si="25"/>
        <v>50613</v>
      </c>
      <c r="C150" s="47">
        <f t="shared" ca="1" si="31"/>
        <v>46322</v>
      </c>
      <c r="D150" s="48">
        <f t="shared" si="29"/>
        <v>7</v>
      </c>
      <c r="E150" s="48">
        <f t="shared" si="30"/>
        <v>2038</v>
      </c>
      <c r="F150" s="24">
        <v>50587</v>
      </c>
      <c r="G150" s="28" t="e">
        <f t="shared" si="38"/>
        <v>#REF!</v>
      </c>
      <c r="H150" s="28" t="str">
        <f ca="1">IF(B150&gt;C150,"",SUMIFS(#REF!,#REF!,D150,#REF!,E150,#REF!,"SIM")-SUMIFS(#REF!,#REF!,D150,#REF!,E150,#REF!,"SIM",#REF!,"EXTERIOR"))</f>
        <v/>
      </c>
      <c r="I150" s="28" t="e">
        <f t="shared" si="32"/>
        <v>#REF!</v>
      </c>
      <c r="J150" s="28" t="str">
        <f ca="1">IF(B150&gt;C150,"",IF(B150&gt;C150,0,SUMIFS(#REF!,#REF!,"&lt;"&amp;DATE(E151,D151,1),#REF!,"sim",#REF!,"&lt;&gt;"&amp;"EXTERIOR")))</f>
        <v/>
      </c>
      <c r="K150" s="28" t="e">
        <f t="shared" si="37"/>
        <v>#REF!</v>
      </c>
      <c r="L150" s="28" t="str">
        <f ca="1">IF(B150&gt;C150,"",SUMIFS(#REF!,#REF!,D150,#REF!,E150,#REF!,"INVESTIMENTO",#REF!,"SIM"))</f>
        <v/>
      </c>
      <c r="M150" s="28" t="e">
        <f t="shared" ca="1" si="34"/>
        <v>#REF!</v>
      </c>
      <c r="N150" s="28" t="str">
        <f t="shared" ca="1" si="35"/>
        <v/>
      </c>
      <c r="O150" s="29" t="str">
        <f t="shared" ca="1" si="36"/>
        <v/>
      </c>
      <c r="P150" s="30" t="str">
        <f t="shared" ca="1" si="33"/>
        <v/>
      </c>
    </row>
    <row r="151" spans="1:16" s="49" customFormat="1" ht="20.25" customHeight="1" x14ac:dyDescent="0.2">
      <c r="A151" s="48"/>
      <c r="B151" s="47">
        <f t="shared" ca="1" si="25"/>
        <v>50644</v>
      </c>
      <c r="C151" s="47">
        <f t="shared" ca="1" si="31"/>
        <v>46322</v>
      </c>
      <c r="D151" s="48">
        <f t="shared" si="29"/>
        <v>8</v>
      </c>
      <c r="E151" s="48">
        <f t="shared" si="30"/>
        <v>2038</v>
      </c>
      <c r="F151" s="24">
        <v>50618</v>
      </c>
      <c r="G151" s="28" t="e">
        <f t="shared" si="38"/>
        <v>#REF!</v>
      </c>
      <c r="H151" s="28" t="str">
        <f ca="1">IF(B151&gt;C151,"",SUMIFS(#REF!,#REF!,D151,#REF!,E151,#REF!,"SIM")-SUMIFS(#REF!,#REF!,D151,#REF!,E151,#REF!,"SIM",#REF!,"EXTERIOR"))</f>
        <v/>
      </c>
      <c r="I151" s="28" t="e">
        <f t="shared" si="32"/>
        <v>#REF!</v>
      </c>
      <c r="J151" s="28" t="str">
        <f ca="1">IF(B151&gt;C151,"",IF(B151&gt;C151,0,SUMIFS(#REF!,#REF!,"&lt;"&amp;DATE(E152,D152,1),#REF!,"sim",#REF!,"&lt;&gt;"&amp;"EXTERIOR")))</f>
        <v/>
      </c>
      <c r="K151" s="28" t="e">
        <f t="shared" si="37"/>
        <v>#REF!</v>
      </c>
      <c r="L151" s="28" t="str">
        <f ca="1">IF(B151&gt;C151,"",SUMIFS(#REF!,#REF!,D151,#REF!,E151,#REF!,"INVESTIMENTO",#REF!,"SIM"))</f>
        <v/>
      </c>
      <c r="M151" s="28" t="e">
        <f t="shared" ca="1" si="34"/>
        <v>#REF!</v>
      </c>
      <c r="N151" s="28" t="str">
        <f t="shared" ca="1" si="35"/>
        <v/>
      </c>
      <c r="O151" s="29" t="str">
        <f t="shared" ca="1" si="36"/>
        <v/>
      </c>
      <c r="P151" s="30" t="str">
        <f t="shared" ca="1" si="33"/>
        <v/>
      </c>
    </row>
    <row r="152" spans="1:16" s="49" customFormat="1" ht="20.25" customHeight="1" x14ac:dyDescent="0.2">
      <c r="A152" s="48"/>
      <c r="B152" s="47">
        <f t="shared" ca="1" si="25"/>
        <v>50675</v>
      </c>
      <c r="C152" s="47">
        <f t="shared" ca="1" si="31"/>
        <v>46322</v>
      </c>
      <c r="D152" s="48">
        <f t="shared" si="29"/>
        <v>9</v>
      </c>
      <c r="E152" s="48">
        <f t="shared" si="30"/>
        <v>2038</v>
      </c>
      <c r="F152" s="24">
        <v>50649</v>
      </c>
      <c r="G152" s="28" t="e">
        <f t="shared" si="38"/>
        <v>#REF!</v>
      </c>
      <c r="H152" s="28" t="str">
        <f ca="1">IF(B152&gt;C152,"",SUMIFS(#REF!,#REF!,D152,#REF!,E152,#REF!,"SIM")-SUMIFS(#REF!,#REF!,D152,#REF!,E152,#REF!,"SIM",#REF!,"EXTERIOR"))</f>
        <v/>
      </c>
      <c r="I152" s="28" t="e">
        <f t="shared" si="32"/>
        <v>#REF!</v>
      </c>
      <c r="J152" s="28" t="str">
        <f ca="1">IF(B152&gt;C152,"",IF(B152&gt;C152,0,SUMIFS(#REF!,#REF!,"&lt;"&amp;DATE(E153,D153,1),#REF!,"sim",#REF!,"&lt;&gt;"&amp;"EXTERIOR")))</f>
        <v/>
      </c>
      <c r="K152" s="28" t="e">
        <f t="shared" si="37"/>
        <v>#REF!</v>
      </c>
      <c r="L152" s="28" t="str">
        <f ca="1">IF(B152&gt;C152,"",SUMIFS(#REF!,#REF!,D152,#REF!,E152,#REF!,"INVESTIMENTO",#REF!,"SIM"))</f>
        <v/>
      </c>
      <c r="M152" s="28" t="e">
        <f t="shared" ca="1" si="34"/>
        <v>#REF!</v>
      </c>
      <c r="N152" s="28" t="str">
        <f t="shared" ca="1" si="35"/>
        <v/>
      </c>
      <c r="O152" s="29" t="str">
        <f t="shared" ca="1" si="36"/>
        <v/>
      </c>
      <c r="P152" s="30" t="str">
        <f t="shared" ca="1" si="33"/>
        <v/>
      </c>
    </row>
    <row r="153" spans="1:16" s="49" customFormat="1" ht="20.25" customHeight="1" x14ac:dyDescent="0.2">
      <c r="A153" s="48"/>
      <c r="B153" s="47">
        <f t="shared" ca="1" si="25"/>
        <v>50705</v>
      </c>
      <c r="C153" s="47">
        <f t="shared" ca="1" si="31"/>
        <v>46322</v>
      </c>
      <c r="D153" s="48">
        <f t="shared" si="29"/>
        <v>10</v>
      </c>
      <c r="E153" s="48">
        <f t="shared" si="30"/>
        <v>2038</v>
      </c>
      <c r="F153" s="24">
        <v>50679</v>
      </c>
      <c r="G153" s="28" t="e">
        <f t="shared" si="38"/>
        <v>#REF!</v>
      </c>
      <c r="H153" s="28" t="str">
        <f ca="1">IF(B153&gt;C153,"",SUMIFS(#REF!,#REF!,D153,#REF!,E153,#REF!,"SIM")-SUMIFS(#REF!,#REF!,D153,#REF!,E153,#REF!,"SIM",#REF!,"EXTERIOR"))</f>
        <v/>
      </c>
      <c r="I153" s="28" t="e">
        <f t="shared" si="32"/>
        <v>#REF!</v>
      </c>
      <c r="J153" s="28" t="str">
        <f ca="1">IF(B153&gt;C153,"",IF(B153&gt;C153,0,SUMIFS(#REF!,#REF!,"&lt;"&amp;DATE(E154,D154,1),#REF!,"sim",#REF!,"&lt;&gt;"&amp;"EXTERIOR")))</f>
        <v/>
      </c>
      <c r="K153" s="28" t="e">
        <f t="shared" si="37"/>
        <v>#REF!</v>
      </c>
      <c r="L153" s="28" t="str">
        <f ca="1">IF(B153&gt;C153,"",SUMIFS(#REF!,#REF!,D153,#REF!,E153,#REF!,"INVESTIMENTO",#REF!,"SIM"))</f>
        <v/>
      </c>
      <c r="M153" s="28" t="e">
        <f t="shared" ca="1" si="34"/>
        <v>#REF!</v>
      </c>
      <c r="N153" s="28" t="str">
        <f t="shared" ca="1" si="35"/>
        <v/>
      </c>
      <c r="O153" s="29" t="str">
        <f t="shared" ca="1" si="36"/>
        <v/>
      </c>
      <c r="P153" s="30" t="str">
        <f t="shared" ca="1" si="33"/>
        <v/>
      </c>
    </row>
    <row r="154" spans="1:16" s="49" customFormat="1" ht="20.25" customHeight="1" x14ac:dyDescent="0.2">
      <c r="A154" s="48"/>
      <c r="B154" s="47">
        <f t="shared" ref="B154:B186" ca="1" si="39">DATE(E154,D154,DAY(TODAY()))</f>
        <v>50736</v>
      </c>
      <c r="C154" s="47">
        <f t="shared" ca="1" si="31"/>
        <v>46322</v>
      </c>
      <c r="D154" s="48">
        <f t="shared" si="29"/>
        <v>11</v>
      </c>
      <c r="E154" s="48">
        <f t="shared" si="30"/>
        <v>2038</v>
      </c>
      <c r="F154" s="24">
        <v>50710</v>
      </c>
      <c r="G154" s="28" t="e">
        <f t="shared" si="38"/>
        <v>#REF!</v>
      </c>
      <c r="H154" s="28" t="str">
        <f ca="1">IF(B154&gt;C154,"",SUMIFS(#REF!,#REF!,D154,#REF!,E154,#REF!,"SIM")-SUMIFS(#REF!,#REF!,D154,#REF!,E154,#REF!,"SIM",#REF!,"EXTERIOR"))</f>
        <v/>
      </c>
      <c r="I154" s="28" t="e">
        <f t="shared" si="32"/>
        <v>#REF!</v>
      </c>
      <c r="J154" s="28" t="str">
        <f ca="1">IF(B154&gt;C154,"",IF(B154&gt;C154,0,SUMIFS(#REF!,#REF!,"&lt;"&amp;DATE(E155,D155,1),#REF!,"sim",#REF!,"&lt;&gt;"&amp;"EXTERIOR")))</f>
        <v/>
      </c>
      <c r="K154" s="28" t="e">
        <f t="shared" si="37"/>
        <v>#REF!</v>
      </c>
      <c r="L154" s="28" t="str">
        <f ca="1">IF(B154&gt;C154,"",SUMIFS(#REF!,#REF!,D154,#REF!,E154,#REF!,"INVESTIMENTO",#REF!,"SIM"))</f>
        <v/>
      </c>
      <c r="M154" s="28" t="e">
        <f t="shared" ca="1" si="34"/>
        <v>#REF!</v>
      </c>
      <c r="N154" s="28" t="str">
        <f t="shared" ca="1" si="35"/>
        <v/>
      </c>
      <c r="O154" s="29" t="str">
        <f t="shared" ca="1" si="36"/>
        <v/>
      </c>
      <c r="P154" s="30" t="str">
        <f t="shared" ca="1" si="33"/>
        <v/>
      </c>
    </row>
    <row r="155" spans="1:16" s="49" customFormat="1" ht="20.25" customHeight="1" x14ac:dyDescent="0.2">
      <c r="A155" s="48"/>
      <c r="B155" s="47">
        <f t="shared" ca="1" si="39"/>
        <v>50766</v>
      </c>
      <c r="C155" s="47">
        <f t="shared" ca="1" si="31"/>
        <v>46322</v>
      </c>
      <c r="D155" s="48">
        <f t="shared" si="29"/>
        <v>12</v>
      </c>
      <c r="E155" s="48">
        <f t="shared" si="30"/>
        <v>2038</v>
      </c>
      <c r="F155" s="24">
        <v>50740</v>
      </c>
      <c r="G155" s="28" t="e">
        <f t="shared" si="38"/>
        <v>#REF!</v>
      </c>
      <c r="H155" s="28" t="str">
        <f ca="1">IF(B155&gt;C155,"",SUMIFS(#REF!,#REF!,D155,#REF!,E155,#REF!,"SIM")-SUMIFS(#REF!,#REF!,D155,#REF!,E155,#REF!,"SIM",#REF!,"EXTERIOR"))</f>
        <v/>
      </c>
      <c r="I155" s="28" t="e">
        <f t="shared" si="32"/>
        <v>#REF!</v>
      </c>
      <c r="J155" s="28" t="str">
        <f ca="1">IF(B155&gt;C155,"",IF(B155&gt;C155,0,SUMIFS(#REF!,#REF!,"&lt;"&amp;DATE(E156,D156,1),#REF!,"sim",#REF!,"&lt;&gt;"&amp;"EXTERIOR")))</f>
        <v/>
      </c>
      <c r="K155" s="28" t="e">
        <f t="shared" si="37"/>
        <v>#REF!</v>
      </c>
      <c r="L155" s="28" t="str">
        <f ca="1">IF(B155&gt;C155,"",SUMIFS(#REF!,#REF!,D155,#REF!,E155,#REF!,"INVESTIMENTO",#REF!,"SIM"))</f>
        <v/>
      </c>
      <c r="M155" s="28" t="e">
        <f t="shared" ca="1" si="34"/>
        <v>#REF!</v>
      </c>
      <c r="N155" s="28" t="str">
        <f t="shared" ca="1" si="35"/>
        <v/>
      </c>
      <c r="O155" s="29" t="str">
        <f t="shared" ca="1" si="36"/>
        <v/>
      </c>
      <c r="P155" s="30" t="str">
        <f t="shared" ca="1" si="33"/>
        <v/>
      </c>
    </row>
    <row r="156" spans="1:16" s="49" customFormat="1" ht="20.25" customHeight="1" x14ac:dyDescent="0.2">
      <c r="A156" s="48"/>
      <c r="B156" s="47">
        <f t="shared" ca="1" si="39"/>
        <v>50797</v>
      </c>
      <c r="C156" s="47">
        <f t="shared" ca="1" si="31"/>
        <v>46322</v>
      </c>
      <c r="D156" s="48">
        <f t="shared" si="29"/>
        <v>1</v>
      </c>
      <c r="E156" s="48">
        <f t="shared" si="30"/>
        <v>2039</v>
      </c>
      <c r="F156" s="24">
        <v>50771</v>
      </c>
      <c r="G156" s="28" t="e">
        <f t="shared" si="38"/>
        <v>#REF!</v>
      </c>
      <c r="H156" s="28" t="str">
        <f ca="1">IF(B156&gt;C156,"",SUMIFS(#REF!,#REF!,D156,#REF!,E156,#REF!,"SIM")-SUMIFS(#REF!,#REF!,D156,#REF!,E156,#REF!,"SIM",#REF!,"EXTERIOR"))</f>
        <v/>
      </c>
      <c r="I156" s="28" t="e">
        <f t="shared" si="32"/>
        <v>#REF!</v>
      </c>
      <c r="J156" s="28" t="str">
        <f ca="1">IF(B156&gt;C156,"",IF(B156&gt;C156,0,SUMIFS(#REF!,#REF!,"&lt;"&amp;DATE(E157,D157,1),#REF!,"sim",#REF!,"&lt;&gt;"&amp;"EXTERIOR")))</f>
        <v/>
      </c>
      <c r="K156" s="28" t="e">
        <f t="shared" si="37"/>
        <v>#REF!</v>
      </c>
      <c r="L156" s="28" t="str">
        <f ca="1">IF(B156&gt;C156,"",SUMIFS(#REF!,#REF!,D156,#REF!,E156,#REF!,"INVESTIMENTO",#REF!,"SIM"))</f>
        <v/>
      </c>
      <c r="M156" s="28" t="e">
        <f t="shared" ca="1" si="34"/>
        <v>#REF!</v>
      </c>
      <c r="N156" s="28" t="str">
        <f t="shared" ca="1" si="35"/>
        <v/>
      </c>
      <c r="O156" s="29" t="str">
        <f t="shared" ca="1" si="36"/>
        <v/>
      </c>
      <c r="P156" s="30" t="str">
        <f t="shared" ca="1" si="33"/>
        <v/>
      </c>
    </row>
    <row r="157" spans="1:16" s="49" customFormat="1" ht="20.25" customHeight="1" x14ac:dyDescent="0.2">
      <c r="A157" s="48"/>
      <c r="B157" s="47">
        <f t="shared" ca="1" si="39"/>
        <v>50828</v>
      </c>
      <c r="C157" s="47">
        <f t="shared" ca="1" si="31"/>
        <v>46322</v>
      </c>
      <c r="D157" s="48">
        <f t="shared" si="29"/>
        <v>2</v>
      </c>
      <c r="E157" s="48">
        <f t="shared" si="30"/>
        <v>2039</v>
      </c>
      <c r="F157" s="24">
        <v>50802</v>
      </c>
      <c r="G157" s="28" t="e">
        <f t="shared" si="38"/>
        <v>#REF!</v>
      </c>
      <c r="H157" s="28" t="str">
        <f ca="1">IF(B157&gt;C157,"",SUMIFS(#REF!,#REF!,D157,#REF!,E157,#REF!,"SIM")-SUMIFS(#REF!,#REF!,D157,#REF!,E157,#REF!,"SIM",#REF!,"EXTERIOR"))</f>
        <v/>
      </c>
      <c r="I157" s="28" t="e">
        <f t="shared" si="32"/>
        <v>#REF!</v>
      </c>
      <c r="J157" s="28" t="str">
        <f ca="1">IF(B157&gt;C157,"",IF(B157&gt;C157,0,SUMIFS(#REF!,#REF!,"&lt;"&amp;DATE(E158,D158,1),#REF!,"sim",#REF!,"&lt;&gt;"&amp;"EXTERIOR")))</f>
        <v/>
      </c>
      <c r="K157" s="28" t="e">
        <f t="shared" si="37"/>
        <v>#REF!</v>
      </c>
      <c r="L157" s="28" t="str">
        <f ca="1">IF(B157&gt;C157,"",SUMIFS(#REF!,#REF!,D157,#REF!,E157,#REF!,"INVESTIMENTO",#REF!,"SIM"))</f>
        <v/>
      </c>
      <c r="M157" s="28" t="e">
        <f t="shared" ca="1" si="34"/>
        <v>#REF!</v>
      </c>
      <c r="N157" s="28" t="str">
        <f t="shared" ca="1" si="35"/>
        <v/>
      </c>
      <c r="O157" s="29" t="str">
        <f t="shared" ca="1" si="36"/>
        <v/>
      </c>
      <c r="P157" s="30" t="str">
        <f t="shared" ca="1" si="33"/>
        <v/>
      </c>
    </row>
    <row r="158" spans="1:16" s="49" customFormat="1" ht="20.25" customHeight="1" x14ac:dyDescent="0.2">
      <c r="A158" s="48"/>
      <c r="B158" s="47">
        <f t="shared" ca="1" si="39"/>
        <v>50856</v>
      </c>
      <c r="C158" s="47">
        <f t="shared" ca="1" si="31"/>
        <v>46322</v>
      </c>
      <c r="D158" s="48">
        <f t="shared" si="29"/>
        <v>3</v>
      </c>
      <c r="E158" s="48">
        <f t="shared" si="30"/>
        <v>2039</v>
      </c>
      <c r="F158" s="24">
        <v>50830</v>
      </c>
      <c r="G158" s="28" t="e">
        <f t="shared" si="38"/>
        <v>#REF!</v>
      </c>
      <c r="H158" s="28" t="str">
        <f ca="1">IF(B158&gt;C158,"",SUMIFS(#REF!,#REF!,D158,#REF!,E158,#REF!,"SIM")-SUMIFS(#REF!,#REF!,D158,#REF!,E158,#REF!,"SIM",#REF!,"EXTERIOR"))</f>
        <v/>
      </c>
      <c r="I158" s="28" t="e">
        <f t="shared" si="32"/>
        <v>#REF!</v>
      </c>
      <c r="J158" s="28" t="str">
        <f ca="1">IF(B158&gt;C158,"",IF(B158&gt;C158,0,SUMIFS(#REF!,#REF!,"&lt;"&amp;DATE(E159,D159,1),#REF!,"sim",#REF!,"&lt;&gt;"&amp;"EXTERIOR")))</f>
        <v/>
      </c>
      <c r="K158" s="28" t="e">
        <f t="shared" si="37"/>
        <v>#REF!</v>
      </c>
      <c r="L158" s="28" t="str">
        <f ca="1">IF(B158&gt;C158,"",SUMIFS(#REF!,#REF!,D158,#REF!,E158,#REF!,"INVESTIMENTO",#REF!,"SIM"))</f>
        <v/>
      </c>
      <c r="M158" s="28" t="e">
        <f t="shared" ca="1" si="34"/>
        <v>#REF!</v>
      </c>
      <c r="N158" s="28" t="str">
        <f t="shared" ca="1" si="35"/>
        <v/>
      </c>
      <c r="O158" s="29" t="str">
        <f t="shared" ca="1" si="36"/>
        <v/>
      </c>
      <c r="P158" s="30" t="str">
        <f t="shared" ca="1" si="33"/>
        <v/>
      </c>
    </row>
    <row r="159" spans="1:16" s="49" customFormat="1" ht="20.25" customHeight="1" x14ac:dyDescent="0.2">
      <c r="A159" s="48"/>
      <c r="B159" s="47">
        <f t="shared" ca="1" si="39"/>
        <v>50887</v>
      </c>
      <c r="C159" s="47">
        <f t="shared" ca="1" si="31"/>
        <v>46322</v>
      </c>
      <c r="D159" s="48">
        <f t="shared" si="29"/>
        <v>4</v>
      </c>
      <c r="E159" s="48">
        <f t="shared" si="30"/>
        <v>2039</v>
      </c>
      <c r="F159" s="24">
        <v>50861</v>
      </c>
      <c r="G159" s="28" t="e">
        <f t="shared" si="38"/>
        <v>#REF!</v>
      </c>
      <c r="H159" s="28" t="str">
        <f ca="1">IF(B159&gt;C159,"",SUMIFS(#REF!,#REF!,D159,#REF!,E159,#REF!,"SIM")-SUMIFS(#REF!,#REF!,D159,#REF!,E159,#REF!,"SIM",#REF!,"EXTERIOR"))</f>
        <v/>
      </c>
      <c r="I159" s="28" t="e">
        <f t="shared" si="32"/>
        <v>#REF!</v>
      </c>
      <c r="J159" s="28" t="str">
        <f ca="1">IF(B159&gt;C159,"",IF(B159&gt;C159,0,SUMIFS(#REF!,#REF!,"&lt;"&amp;DATE(E160,D160,1),#REF!,"sim",#REF!,"&lt;&gt;"&amp;"EXTERIOR")))</f>
        <v/>
      </c>
      <c r="K159" s="28" t="e">
        <f t="shared" si="37"/>
        <v>#REF!</v>
      </c>
      <c r="L159" s="28" t="str">
        <f ca="1">IF(B159&gt;C159,"",SUMIFS(#REF!,#REF!,D159,#REF!,E159,#REF!,"INVESTIMENTO",#REF!,"SIM"))</f>
        <v/>
      </c>
      <c r="M159" s="28" t="e">
        <f t="shared" ca="1" si="34"/>
        <v>#REF!</v>
      </c>
      <c r="N159" s="28" t="str">
        <f t="shared" ca="1" si="35"/>
        <v/>
      </c>
      <c r="O159" s="29" t="str">
        <f t="shared" ca="1" si="36"/>
        <v/>
      </c>
      <c r="P159" s="30" t="str">
        <f t="shared" ca="1" si="33"/>
        <v/>
      </c>
    </row>
    <row r="160" spans="1:16" s="49" customFormat="1" ht="20.25" customHeight="1" x14ac:dyDescent="0.2">
      <c r="A160" s="48"/>
      <c r="B160" s="47">
        <f t="shared" ca="1" si="39"/>
        <v>50917</v>
      </c>
      <c r="C160" s="47">
        <f t="shared" ca="1" si="31"/>
        <v>46322</v>
      </c>
      <c r="D160" s="48">
        <f t="shared" si="29"/>
        <v>5</v>
      </c>
      <c r="E160" s="48">
        <f t="shared" si="30"/>
        <v>2039</v>
      </c>
      <c r="F160" s="24">
        <v>50891</v>
      </c>
      <c r="G160" s="28" t="e">
        <f t="shared" si="38"/>
        <v>#REF!</v>
      </c>
      <c r="H160" s="28" t="str">
        <f ca="1">IF(B160&gt;C160,"",SUMIFS(#REF!,#REF!,D160,#REF!,E160,#REF!,"SIM")-SUMIFS(#REF!,#REF!,D160,#REF!,E160,#REF!,"SIM",#REF!,"EXTERIOR"))</f>
        <v/>
      </c>
      <c r="I160" s="28" t="e">
        <f t="shared" si="32"/>
        <v>#REF!</v>
      </c>
      <c r="J160" s="28" t="str">
        <f ca="1">IF(B160&gt;C160,"",IF(B160&gt;C160,0,SUMIFS(#REF!,#REF!,"&lt;"&amp;DATE(E161,D161,1),#REF!,"sim",#REF!,"&lt;&gt;"&amp;"EXTERIOR")))</f>
        <v/>
      </c>
      <c r="K160" s="28" t="e">
        <f t="shared" si="37"/>
        <v>#REF!</v>
      </c>
      <c r="L160" s="28" t="str">
        <f ca="1">IF(B160&gt;C160,"",SUMIFS(#REF!,#REF!,D160,#REF!,E160,#REF!,"INVESTIMENTO",#REF!,"SIM"))</f>
        <v/>
      </c>
      <c r="M160" s="28" t="e">
        <f t="shared" ca="1" si="34"/>
        <v>#REF!</v>
      </c>
      <c r="N160" s="28" t="str">
        <f t="shared" ca="1" si="35"/>
        <v/>
      </c>
      <c r="O160" s="29" t="str">
        <f t="shared" ca="1" si="36"/>
        <v/>
      </c>
      <c r="P160" s="30" t="str">
        <f t="shared" ca="1" si="33"/>
        <v/>
      </c>
    </row>
    <row r="161" spans="1:16" s="49" customFormat="1" ht="20.25" customHeight="1" x14ac:dyDescent="0.2">
      <c r="A161" s="48"/>
      <c r="B161" s="47">
        <f t="shared" ca="1" si="39"/>
        <v>50948</v>
      </c>
      <c r="C161" s="47">
        <f t="shared" ca="1" si="31"/>
        <v>46322</v>
      </c>
      <c r="D161" s="48">
        <f t="shared" si="29"/>
        <v>6</v>
      </c>
      <c r="E161" s="48">
        <f t="shared" si="30"/>
        <v>2039</v>
      </c>
      <c r="F161" s="24">
        <v>50922</v>
      </c>
      <c r="G161" s="28" t="e">
        <f t="shared" si="38"/>
        <v>#REF!</v>
      </c>
      <c r="H161" s="28" t="str">
        <f ca="1">IF(B161&gt;C161,"",SUMIFS(#REF!,#REF!,D161,#REF!,E161,#REF!,"SIM")-SUMIFS(#REF!,#REF!,D161,#REF!,E161,#REF!,"SIM",#REF!,"EXTERIOR"))</f>
        <v/>
      </c>
      <c r="I161" s="28" t="e">
        <f t="shared" si="32"/>
        <v>#REF!</v>
      </c>
      <c r="J161" s="28" t="str">
        <f ca="1">IF(B161&gt;C161,"",IF(B161&gt;C161,0,SUMIFS(#REF!,#REF!,"&lt;"&amp;DATE(E162,D162,1),#REF!,"sim",#REF!,"&lt;&gt;"&amp;"EXTERIOR")))</f>
        <v/>
      </c>
      <c r="K161" s="28" t="e">
        <f t="shared" si="37"/>
        <v>#REF!</v>
      </c>
      <c r="L161" s="28" t="str">
        <f ca="1">IF(B161&gt;C161,"",SUMIFS(#REF!,#REF!,D161,#REF!,E161,#REF!,"INVESTIMENTO",#REF!,"SIM"))</f>
        <v/>
      </c>
      <c r="M161" s="28" t="e">
        <f t="shared" ca="1" si="34"/>
        <v>#REF!</v>
      </c>
      <c r="N161" s="28" t="str">
        <f t="shared" ca="1" si="35"/>
        <v/>
      </c>
      <c r="O161" s="29" t="str">
        <f t="shared" ca="1" si="36"/>
        <v/>
      </c>
      <c r="P161" s="30" t="str">
        <f t="shared" ca="1" si="33"/>
        <v/>
      </c>
    </row>
    <row r="162" spans="1:16" s="49" customFormat="1" ht="20.25" customHeight="1" x14ac:dyDescent="0.2">
      <c r="A162" s="48"/>
      <c r="B162" s="47">
        <f t="shared" ca="1" si="39"/>
        <v>50978</v>
      </c>
      <c r="C162" s="47">
        <f t="shared" ca="1" si="31"/>
        <v>46322</v>
      </c>
      <c r="D162" s="48">
        <f t="shared" si="29"/>
        <v>7</v>
      </c>
      <c r="E162" s="48">
        <f t="shared" si="30"/>
        <v>2039</v>
      </c>
      <c r="F162" s="24">
        <v>50952</v>
      </c>
      <c r="G162" s="28" t="e">
        <f t="shared" si="38"/>
        <v>#REF!</v>
      </c>
      <c r="H162" s="28" t="str">
        <f ca="1">IF(B162&gt;C162,"",SUMIFS(#REF!,#REF!,D162,#REF!,E162,#REF!,"SIM")-SUMIFS(#REF!,#REF!,D162,#REF!,E162,#REF!,"SIM",#REF!,"EXTERIOR"))</f>
        <v/>
      </c>
      <c r="I162" s="28" t="e">
        <f t="shared" si="32"/>
        <v>#REF!</v>
      </c>
      <c r="J162" s="28" t="str">
        <f ca="1">IF(B162&gt;C162,"",IF(B162&gt;C162,0,SUMIFS(#REF!,#REF!,"&lt;"&amp;DATE(E163,D163,1),#REF!,"sim",#REF!,"&lt;&gt;"&amp;"EXTERIOR")))</f>
        <v/>
      </c>
      <c r="K162" s="28" t="e">
        <f t="shared" si="37"/>
        <v>#REF!</v>
      </c>
      <c r="L162" s="28" t="str">
        <f ca="1">IF(B162&gt;C162,"",SUMIFS(#REF!,#REF!,D162,#REF!,E162,#REF!,"INVESTIMENTO",#REF!,"SIM"))</f>
        <v/>
      </c>
      <c r="M162" s="28" t="e">
        <f t="shared" ca="1" si="34"/>
        <v>#REF!</v>
      </c>
      <c r="N162" s="28" t="str">
        <f t="shared" ca="1" si="35"/>
        <v/>
      </c>
      <c r="O162" s="29" t="str">
        <f t="shared" ca="1" si="36"/>
        <v/>
      </c>
      <c r="P162" s="30" t="str">
        <f t="shared" ca="1" si="33"/>
        <v/>
      </c>
    </row>
    <row r="163" spans="1:16" s="49" customFormat="1" ht="20.25" customHeight="1" x14ac:dyDescent="0.2">
      <c r="A163" s="48"/>
      <c r="B163" s="47">
        <f t="shared" ca="1" si="39"/>
        <v>51009</v>
      </c>
      <c r="C163" s="47">
        <f t="shared" ca="1" si="31"/>
        <v>46322</v>
      </c>
      <c r="D163" s="48">
        <f t="shared" si="29"/>
        <v>8</v>
      </c>
      <c r="E163" s="48">
        <f t="shared" si="30"/>
        <v>2039</v>
      </c>
      <c r="F163" s="24">
        <v>50983</v>
      </c>
      <c r="G163" s="28" t="e">
        <f t="shared" si="38"/>
        <v>#REF!</v>
      </c>
      <c r="H163" s="28" t="str">
        <f ca="1">IF(B163&gt;C163,"",SUMIFS(#REF!,#REF!,D163,#REF!,E163,#REF!,"SIM")-SUMIFS(#REF!,#REF!,D163,#REF!,E163,#REF!,"SIM",#REF!,"EXTERIOR"))</f>
        <v/>
      </c>
      <c r="I163" s="28" t="e">
        <f t="shared" si="32"/>
        <v>#REF!</v>
      </c>
      <c r="J163" s="28" t="str">
        <f ca="1">IF(B163&gt;C163,"",IF(B163&gt;C163,0,SUMIFS(#REF!,#REF!,"&lt;"&amp;DATE(E164,D164,1),#REF!,"sim",#REF!,"&lt;&gt;"&amp;"EXTERIOR")))</f>
        <v/>
      </c>
      <c r="K163" s="28" t="e">
        <f t="shared" si="37"/>
        <v>#REF!</v>
      </c>
      <c r="L163" s="28" t="str">
        <f ca="1">IF(B163&gt;C163,"",SUMIFS(#REF!,#REF!,D163,#REF!,E163,#REF!,"INVESTIMENTO",#REF!,"SIM"))</f>
        <v/>
      </c>
      <c r="M163" s="28" t="e">
        <f t="shared" ca="1" si="34"/>
        <v>#REF!</v>
      </c>
      <c r="N163" s="28" t="str">
        <f t="shared" ca="1" si="35"/>
        <v/>
      </c>
      <c r="O163" s="29" t="str">
        <f t="shared" ca="1" si="36"/>
        <v/>
      </c>
      <c r="P163" s="30" t="str">
        <f t="shared" ca="1" si="33"/>
        <v/>
      </c>
    </row>
    <row r="164" spans="1:16" s="49" customFormat="1" ht="20.25" customHeight="1" x14ac:dyDescent="0.2">
      <c r="A164" s="48"/>
      <c r="B164" s="47">
        <f t="shared" ca="1" si="39"/>
        <v>51040</v>
      </c>
      <c r="C164" s="47">
        <f t="shared" ca="1" si="31"/>
        <v>46322</v>
      </c>
      <c r="D164" s="48">
        <f t="shared" si="29"/>
        <v>9</v>
      </c>
      <c r="E164" s="48">
        <f t="shared" si="30"/>
        <v>2039</v>
      </c>
      <c r="F164" s="24">
        <v>51014</v>
      </c>
      <c r="G164" s="28" t="e">
        <f t="shared" si="38"/>
        <v>#REF!</v>
      </c>
      <c r="H164" s="28" t="str">
        <f ca="1">IF(B164&gt;C164,"",SUMIFS(#REF!,#REF!,D164,#REF!,E164,#REF!,"SIM")-SUMIFS(#REF!,#REF!,D164,#REF!,E164,#REF!,"SIM",#REF!,"EXTERIOR"))</f>
        <v/>
      </c>
      <c r="I164" s="28" t="e">
        <f t="shared" si="32"/>
        <v>#REF!</v>
      </c>
      <c r="J164" s="28" t="str">
        <f ca="1">IF(B164&gt;C164,"",IF(B164&gt;C164,0,SUMIFS(#REF!,#REF!,"&lt;"&amp;DATE(E165,D165,1),#REF!,"sim",#REF!,"&lt;&gt;"&amp;"EXTERIOR")))</f>
        <v/>
      </c>
      <c r="K164" s="28" t="e">
        <f t="shared" si="37"/>
        <v>#REF!</v>
      </c>
      <c r="L164" s="28" t="str">
        <f ca="1">IF(B164&gt;C164,"",SUMIFS(#REF!,#REF!,D164,#REF!,E164,#REF!,"INVESTIMENTO",#REF!,"SIM"))</f>
        <v/>
      </c>
      <c r="M164" s="28" t="e">
        <f t="shared" ca="1" si="34"/>
        <v>#REF!</v>
      </c>
      <c r="N164" s="28" t="str">
        <f t="shared" ca="1" si="35"/>
        <v/>
      </c>
      <c r="O164" s="29" t="str">
        <f t="shared" ca="1" si="36"/>
        <v/>
      </c>
      <c r="P164" s="30" t="str">
        <f t="shared" ca="1" si="33"/>
        <v/>
      </c>
    </row>
    <row r="165" spans="1:16" s="49" customFormat="1" ht="20.25" customHeight="1" x14ac:dyDescent="0.2">
      <c r="A165" s="48"/>
      <c r="B165" s="47">
        <f t="shared" ca="1" si="39"/>
        <v>51070</v>
      </c>
      <c r="C165" s="47">
        <f t="shared" ca="1" si="31"/>
        <v>46322</v>
      </c>
      <c r="D165" s="48">
        <f t="shared" si="29"/>
        <v>10</v>
      </c>
      <c r="E165" s="48">
        <f t="shared" si="30"/>
        <v>2039</v>
      </c>
      <c r="F165" s="24">
        <v>51044</v>
      </c>
      <c r="G165" s="28" t="e">
        <f t="shared" si="38"/>
        <v>#REF!</v>
      </c>
      <c r="H165" s="28" t="str">
        <f ca="1">IF(B165&gt;C165,"",SUMIFS(#REF!,#REF!,D165,#REF!,E165,#REF!,"SIM")-SUMIFS(#REF!,#REF!,D165,#REF!,E165,#REF!,"SIM",#REF!,"EXTERIOR"))</f>
        <v/>
      </c>
      <c r="I165" s="28" t="e">
        <f t="shared" si="32"/>
        <v>#REF!</v>
      </c>
      <c r="J165" s="28" t="str">
        <f ca="1">IF(B165&gt;C165,"",IF(B165&gt;C165,0,SUMIFS(#REF!,#REF!,"&lt;"&amp;DATE(E166,D166,1),#REF!,"sim",#REF!,"&lt;&gt;"&amp;"EXTERIOR")))</f>
        <v/>
      </c>
      <c r="K165" s="28" t="e">
        <f t="shared" si="37"/>
        <v>#REF!</v>
      </c>
      <c r="L165" s="28" t="str">
        <f ca="1">IF(B165&gt;C165,"",SUMIFS(#REF!,#REF!,D165,#REF!,E165,#REF!,"INVESTIMENTO",#REF!,"SIM"))</f>
        <v/>
      </c>
      <c r="M165" s="28" t="e">
        <f t="shared" ca="1" si="34"/>
        <v>#REF!</v>
      </c>
      <c r="N165" s="28" t="str">
        <f t="shared" ca="1" si="35"/>
        <v/>
      </c>
      <c r="O165" s="29" t="str">
        <f t="shared" ca="1" si="36"/>
        <v/>
      </c>
      <c r="P165" s="30" t="str">
        <f t="shared" ca="1" si="33"/>
        <v/>
      </c>
    </row>
    <row r="166" spans="1:16" s="49" customFormat="1" ht="20.25" customHeight="1" x14ac:dyDescent="0.2">
      <c r="A166" s="48"/>
      <c r="B166" s="47">
        <f t="shared" ca="1" si="39"/>
        <v>51101</v>
      </c>
      <c r="C166" s="47">
        <f t="shared" ca="1" si="31"/>
        <v>46322</v>
      </c>
      <c r="D166" s="48">
        <f t="shared" si="29"/>
        <v>11</v>
      </c>
      <c r="E166" s="48">
        <f t="shared" si="30"/>
        <v>2039</v>
      </c>
      <c r="F166" s="24">
        <v>51075</v>
      </c>
      <c r="G166" s="28" t="e">
        <f t="shared" si="38"/>
        <v>#REF!</v>
      </c>
      <c r="H166" s="28" t="str">
        <f ca="1">IF(B166&gt;C166,"",SUMIFS(#REF!,#REF!,D166,#REF!,E166,#REF!,"SIM")-SUMIFS(#REF!,#REF!,D166,#REF!,E166,#REF!,"SIM",#REF!,"EXTERIOR"))</f>
        <v/>
      </c>
      <c r="I166" s="28" t="e">
        <f t="shared" si="32"/>
        <v>#REF!</v>
      </c>
      <c r="J166" s="28" t="str">
        <f ca="1">IF(B166&gt;C166,"",IF(B166&gt;C166,0,SUMIFS(#REF!,#REF!,"&lt;"&amp;DATE(E167,D167,1),#REF!,"sim",#REF!,"&lt;&gt;"&amp;"EXTERIOR")))</f>
        <v/>
      </c>
      <c r="K166" s="28" t="e">
        <f t="shared" si="37"/>
        <v>#REF!</v>
      </c>
      <c r="L166" s="28" t="str">
        <f ca="1">IF(B166&gt;C166,"",SUMIFS(#REF!,#REF!,D166,#REF!,E166,#REF!,"INVESTIMENTO",#REF!,"SIM"))</f>
        <v/>
      </c>
      <c r="M166" s="28" t="e">
        <f t="shared" ca="1" si="34"/>
        <v>#REF!</v>
      </c>
      <c r="N166" s="28" t="str">
        <f t="shared" ca="1" si="35"/>
        <v/>
      </c>
      <c r="O166" s="29" t="str">
        <f t="shared" ca="1" si="36"/>
        <v/>
      </c>
      <c r="P166" s="30" t="str">
        <f t="shared" ca="1" si="33"/>
        <v/>
      </c>
    </row>
    <row r="167" spans="1:16" s="49" customFormat="1" ht="20.25" customHeight="1" x14ac:dyDescent="0.2">
      <c r="A167" s="48"/>
      <c r="B167" s="47">
        <f t="shared" ca="1" si="39"/>
        <v>51131</v>
      </c>
      <c r="C167" s="47">
        <f t="shared" ca="1" si="31"/>
        <v>46322</v>
      </c>
      <c r="D167" s="48">
        <f t="shared" si="29"/>
        <v>12</v>
      </c>
      <c r="E167" s="48">
        <f t="shared" si="30"/>
        <v>2039</v>
      </c>
      <c r="F167" s="24">
        <v>51105</v>
      </c>
      <c r="G167" s="28" t="e">
        <f t="shared" si="38"/>
        <v>#REF!</v>
      </c>
      <c r="H167" s="28" t="str">
        <f ca="1">IF(B167&gt;C167,"",SUMIFS(#REF!,#REF!,D167,#REF!,E167,#REF!,"SIM")-SUMIFS(#REF!,#REF!,D167,#REF!,E167,#REF!,"SIM",#REF!,"EXTERIOR"))</f>
        <v/>
      </c>
      <c r="I167" s="28" t="e">
        <f t="shared" si="32"/>
        <v>#REF!</v>
      </c>
      <c r="J167" s="28" t="str">
        <f ca="1">IF(B167&gt;C167,"",IF(B167&gt;C167,0,SUMIFS(#REF!,#REF!,"&lt;"&amp;DATE(E168,D168,1),#REF!,"sim",#REF!,"&lt;&gt;"&amp;"EXTERIOR")))</f>
        <v/>
      </c>
      <c r="K167" s="28" t="e">
        <f t="shared" si="37"/>
        <v>#REF!</v>
      </c>
      <c r="L167" s="28" t="str">
        <f ca="1">IF(B167&gt;C167,"",SUMIFS(#REF!,#REF!,D167,#REF!,E167,#REF!,"INVESTIMENTO",#REF!,"SIM"))</f>
        <v/>
      </c>
      <c r="M167" s="28" t="e">
        <f t="shared" ca="1" si="34"/>
        <v>#REF!</v>
      </c>
      <c r="N167" s="28" t="str">
        <f t="shared" ca="1" si="35"/>
        <v/>
      </c>
      <c r="O167" s="29" t="str">
        <f t="shared" ca="1" si="36"/>
        <v/>
      </c>
      <c r="P167" s="30" t="str">
        <f t="shared" ca="1" si="33"/>
        <v/>
      </c>
    </row>
    <row r="168" spans="1:16" s="49" customFormat="1" ht="20.25" customHeight="1" x14ac:dyDescent="0.2">
      <c r="A168" s="48"/>
      <c r="B168" s="47">
        <f t="shared" ca="1" si="39"/>
        <v>51162</v>
      </c>
      <c r="C168" s="47">
        <f t="shared" ca="1" si="31"/>
        <v>46322</v>
      </c>
      <c r="D168" s="48">
        <f t="shared" si="29"/>
        <v>1</v>
      </c>
      <c r="E168" s="48">
        <f t="shared" si="30"/>
        <v>2040</v>
      </c>
      <c r="F168" s="24">
        <v>51136</v>
      </c>
      <c r="G168" s="28" t="e">
        <f t="shared" si="38"/>
        <v>#REF!</v>
      </c>
      <c r="H168" s="28" t="str">
        <f ca="1">IF(B168&gt;C168,"",SUMIFS(#REF!,#REF!,D168,#REF!,E168,#REF!,"SIM")-SUMIFS(#REF!,#REF!,D168,#REF!,E168,#REF!,"SIM",#REF!,"EXTERIOR"))</f>
        <v/>
      </c>
      <c r="I168" s="28" t="e">
        <f t="shared" si="32"/>
        <v>#REF!</v>
      </c>
      <c r="J168" s="28" t="str">
        <f ca="1">IF(B168&gt;C168,"",IF(B168&gt;C168,0,SUMIFS(#REF!,#REF!,"&lt;"&amp;DATE(E169,D169,1),#REF!,"sim",#REF!,"&lt;&gt;"&amp;"EXTERIOR")))</f>
        <v/>
      </c>
      <c r="K168" s="28" t="e">
        <f t="shared" si="37"/>
        <v>#REF!</v>
      </c>
      <c r="L168" s="28" t="str">
        <f ca="1">IF(B168&gt;C168,"",SUMIFS(#REF!,#REF!,D168,#REF!,E168,#REF!,"INVESTIMENTO",#REF!,"SIM"))</f>
        <v/>
      </c>
      <c r="M168" s="28" t="e">
        <f t="shared" ca="1" si="34"/>
        <v>#REF!</v>
      </c>
      <c r="N168" s="28" t="str">
        <f t="shared" ca="1" si="35"/>
        <v/>
      </c>
      <c r="O168" s="29" t="str">
        <f t="shared" ca="1" si="36"/>
        <v/>
      </c>
      <c r="P168" s="30" t="str">
        <f t="shared" ca="1" si="33"/>
        <v/>
      </c>
    </row>
    <row r="169" spans="1:16" s="49" customFormat="1" ht="20.25" customHeight="1" x14ac:dyDescent="0.2">
      <c r="A169" s="48"/>
      <c r="B169" s="47">
        <f t="shared" ca="1" si="39"/>
        <v>51193</v>
      </c>
      <c r="C169" s="47">
        <f t="shared" ca="1" si="31"/>
        <v>46322</v>
      </c>
      <c r="D169" s="48">
        <f t="shared" ref="D169:D186" si="40">MONTH(F169)</f>
        <v>2</v>
      </c>
      <c r="E169" s="48">
        <f t="shared" si="30"/>
        <v>2040</v>
      </c>
      <c r="F169" s="24">
        <v>51167</v>
      </c>
      <c r="G169" s="28" t="e">
        <f t="shared" si="38"/>
        <v>#REF!</v>
      </c>
      <c r="H169" s="28" t="str">
        <f ca="1">IF(B169&gt;C169,"",SUMIFS(#REF!,#REF!,D169,#REF!,E169,#REF!,"SIM")-SUMIFS(#REF!,#REF!,D169,#REF!,E169,#REF!,"SIM",#REF!,"EXTERIOR"))</f>
        <v/>
      </c>
      <c r="I169" s="28" t="e">
        <f t="shared" si="32"/>
        <v>#REF!</v>
      </c>
      <c r="J169" s="28" t="str">
        <f ca="1">IF(B169&gt;C169,"",IF(B169&gt;C169,0,SUMIFS(#REF!,#REF!,"&lt;"&amp;DATE(E170,D170,1),#REF!,"sim",#REF!,"&lt;&gt;"&amp;"EXTERIOR")))</f>
        <v/>
      </c>
      <c r="K169" s="28" t="e">
        <f t="shared" si="37"/>
        <v>#REF!</v>
      </c>
      <c r="L169" s="28" t="str">
        <f ca="1">IF(B169&gt;C169,"",SUMIFS(#REF!,#REF!,D169,#REF!,E169,#REF!,"INVESTIMENTO",#REF!,"SIM"))</f>
        <v/>
      </c>
      <c r="M169" s="28" t="e">
        <f t="shared" ca="1" si="34"/>
        <v>#REF!</v>
      </c>
      <c r="N169" s="28" t="str">
        <f t="shared" ca="1" si="35"/>
        <v/>
      </c>
      <c r="O169" s="29" t="str">
        <f t="shared" ca="1" si="36"/>
        <v/>
      </c>
      <c r="P169" s="30" t="str">
        <f t="shared" ca="1" si="33"/>
        <v/>
      </c>
    </row>
    <row r="170" spans="1:16" s="49" customFormat="1" ht="20.25" customHeight="1" x14ac:dyDescent="0.2">
      <c r="A170" s="48"/>
      <c r="B170" s="47">
        <f t="shared" ca="1" si="39"/>
        <v>51222</v>
      </c>
      <c r="C170" s="47">
        <f t="shared" ca="1" si="31"/>
        <v>46322</v>
      </c>
      <c r="D170" s="48">
        <f t="shared" si="40"/>
        <v>3</v>
      </c>
      <c r="E170" s="48">
        <f t="shared" si="30"/>
        <v>2040</v>
      </c>
      <c r="F170" s="24">
        <v>51196</v>
      </c>
      <c r="G170" s="28" t="e">
        <f t="shared" si="38"/>
        <v>#REF!</v>
      </c>
      <c r="H170" s="28" t="str">
        <f ca="1">IF(B170&gt;C170,"",SUMIFS(#REF!,#REF!,D170,#REF!,E170,#REF!,"SIM")-SUMIFS(#REF!,#REF!,D170,#REF!,E170,#REF!,"SIM",#REF!,"EXTERIOR"))</f>
        <v/>
      </c>
      <c r="I170" s="28" t="e">
        <f t="shared" ref="I170:I186" si="41">G170+I169</f>
        <v>#REF!</v>
      </c>
      <c r="J170" s="28" t="str">
        <f ca="1">IF(B170&gt;C170,"",IF(B170&gt;C170,0,SUMIFS(#REF!,#REF!,"&lt;"&amp;DATE(E171,D171,1),#REF!,"sim",#REF!,"&lt;&gt;"&amp;"EXTERIOR")))</f>
        <v/>
      </c>
      <c r="K170" s="28" t="e">
        <f t="shared" si="37"/>
        <v>#REF!</v>
      </c>
      <c r="L170" s="28" t="str">
        <f ca="1">IF(B170&gt;C170,"",SUMIFS(#REF!,#REF!,D170,#REF!,E170,#REF!,"INVESTIMENTO",#REF!,"SIM"))</f>
        <v/>
      </c>
      <c r="M170" s="28" t="e">
        <f t="shared" ca="1" si="34"/>
        <v>#REF!</v>
      </c>
      <c r="N170" s="28" t="str">
        <f t="shared" ca="1" si="35"/>
        <v/>
      </c>
      <c r="O170" s="29" t="str">
        <f t="shared" ca="1" si="36"/>
        <v/>
      </c>
      <c r="P170" s="30" t="str">
        <f t="shared" ca="1" si="33"/>
        <v/>
      </c>
    </row>
    <row r="171" spans="1:16" s="49" customFormat="1" ht="20.25" customHeight="1" x14ac:dyDescent="0.2">
      <c r="A171" s="48"/>
      <c r="B171" s="47">
        <f t="shared" ca="1" si="39"/>
        <v>51253</v>
      </c>
      <c r="C171" s="47">
        <f t="shared" ca="1" si="31"/>
        <v>46322</v>
      </c>
      <c r="D171" s="48">
        <f t="shared" si="40"/>
        <v>4</v>
      </c>
      <c r="E171" s="48">
        <f t="shared" si="30"/>
        <v>2040</v>
      </c>
      <c r="F171" s="24">
        <v>51227</v>
      </c>
      <c r="G171" s="28" t="e">
        <f t="shared" si="38"/>
        <v>#REF!</v>
      </c>
      <c r="H171" s="28" t="str">
        <f ca="1">IF(B171&gt;C171,"",SUMIFS(#REF!,#REF!,D171,#REF!,E171,#REF!,"SIM")-SUMIFS(#REF!,#REF!,D171,#REF!,E171,#REF!,"SIM",#REF!,"EXTERIOR"))</f>
        <v/>
      </c>
      <c r="I171" s="28" t="e">
        <f t="shared" si="41"/>
        <v>#REF!</v>
      </c>
      <c r="J171" s="28" t="str">
        <f ca="1">IF(B171&gt;C171,"",IF(B171&gt;C171,0,SUMIFS(#REF!,#REF!,"&lt;"&amp;DATE(E172,D172,1),#REF!,"sim",#REF!,"&lt;&gt;"&amp;"EXTERIOR")))</f>
        <v/>
      </c>
      <c r="K171" s="28" t="e">
        <f t="shared" si="37"/>
        <v>#REF!</v>
      </c>
      <c r="L171" s="28" t="str">
        <f ca="1">IF(B171&gt;C171,"",SUMIFS(#REF!,#REF!,D171,#REF!,E171,#REF!,"INVESTIMENTO",#REF!,"SIM"))</f>
        <v/>
      </c>
      <c r="M171" s="28" t="e">
        <f t="shared" ca="1" si="34"/>
        <v>#REF!</v>
      </c>
      <c r="N171" s="28" t="str">
        <f t="shared" ca="1" si="35"/>
        <v/>
      </c>
      <c r="O171" s="29" t="str">
        <f t="shared" ca="1" si="36"/>
        <v/>
      </c>
      <c r="P171" s="30" t="str">
        <f t="shared" ca="1" si="33"/>
        <v/>
      </c>
    </row>
    <row r="172" spans="1:16" s="49" customFormat="1" ht="20.25" customHeight="1" x14ac:dyDescent="0.2">
      <c r="A172" s="48"/>
      <c r="B172" s="47">
        <f t="shared" ca="1" si="39"/>
        <v>51283</v>
      </c>
      <c r="C172" s="47">
        <f t="shared" ca="1" si="31"/>
        <v>46322</v>
      </c>
      <c r="D172" s="48">
        <f t="shared" si="40"/>
        <v>5</v>
      </c>
      <c r="E172" s="48">
        <f t="shared" si="30"/>
        <v>2040</v>
      </c>
      <c r="F172" s="24">
        <v>51257</v>
      </c>
      <c r="G172" s="28" t="e">
        <f t="shared" si="38"/>
        <v>#REF!</v>
      </c>
      <c r="H172" s="28" t="str">
        <f ca="1">IF(B172&gt;C172,"",SUMIFS(#REF!,#REF!,D172,#REF!,E172,#REF!,"SIM")-SUMIFS(#REF!,#REF!,D172,#REF!,E172,#REF!,"SIM",#REF!,"EXTERIOR"))</f>
        <v/>
      </c>
      <c r="I172" s="28" t="e">
        <f t="shared" si="41"/>
        <v>#REF!</v>
      </c>
      <c r="J172" s="28" t="str">
        <f ca="1">IF(B172&gt;C172,"",IF(B172&gt;C172,0,SUMIFS(#REF!,#REF!,"&lt;"&amp;DATE(E173,D173,1),#REF!,"sim",#REF!,"&lt;&gt;"&amp;"EXTERIOR")))</f>
        <v/>
      </c>
      <c r="K172" s="28" t="e">
        <f t="shared" si="37"/>
        <v>#REF!</v>
      </c>
      <c r="L172" s="28" t="str">
        <f ca="1">IF(B172&gt;C172,"",SUMIFS(#REF!,#REF!,D172,#REF!,E172,#REF!,"INVESTIMENTO",#REF!,"SIM"))</f>
        <v/>
      </c>
      <c r="M172" s="28" t="e">
        <f t="shared" ca="1" si="34"/>
        <v>#REF!</v>
      </c>
      <c r="N172" s="28" t="str">
        <f t="shared" ca="1" si="35"/>
        <v/>
      </c>
      <c r="O172" s="29" t="str">
        <f t="shared" ca="1" si="36"/>
        <v/>
      </c>
      <c r="P172" s="30" t="str">
        <f t="shared" ca="1" si="33"/>
        <v/>
      </c>
    </row>
    <row r="173" spans="1:16" s="49" customFormat="1" ht="20.25" customHeight="1" x14ac:dyDescent="0.2">
      <c r="A173" s="48"/>
      <c r="B173" s="47">
        <f t="shared" ca="1" si="39"/>
        <v>51314</v>
      </c>
      <c r="C173" s="47">
        <f t="shared" ca="1" si="31"/>
        <v>46322</v>
      </c>
      <c r="D173" s="48">
        <f t="shared" si="40"/>
        <v>6</v>
      </c>
      <c r="E173" s="48">
        <f t="shared" si="30"/>
        <v>2040</v>
      </c>
      <c r="F173" s="24">
        <v>51288</v>
      </c>
      <c r="G173" s="28" t="e">
        <f t="shared" si="38"/>
        <v>#REF!</v>
      </c>
      <c r="H173" s="28" t="str">
        <f ca="1">IF(B173&gt;C173,"",SUMIFS(#REF!,#REF!,D173,#REF!,E173,#REF!,"SIM")-SUMIFS(#REF!,#REF!,D173,#REF!,E173,#REF!,"SIM",#REF!,"EXTERIOR"))</f>
        <v/>
      </c>
      <c r="I173" s="28" t="e">
        <f t="shared" si="41"/>
        <v>#REF!</v>
      </c>
      <c r="J173" s="28" t="str">
        <f ca="1">IF(B173&gt;C173,"",IF(B173&gt;C173,0,SUMIFS(#REF!,#REF!,"&lt;"&amp;DATE(E174,D174,1),#REF!,"sim",#REF!,"&lt;&gt;"&amp;"EXTERIOR")))</f>
        <v/>
      </c>
      <c r="K173" s="28" t="e">
        <f t="shared" ref="K173:K186" si="42">I172*$M$3</f>
        <v>#REF!</v>
      </c>
      <c r="L173" s="28" t="str">
        <f ca="1">IF(B173&gt;C173,"",SUMIFS(#REF!,#REF!,D173,#REF!,E173,#REF!,"INVESTIMENTO",#REF!,"SIM"))</f>
        <v/>
      </c>
      <c r="M173" s="28" t="e">
        <f t="shared" ca="1" si="34"/>
        <v>#REF!</v>
      </c>
      <c r="N173" s="28" t="str">
        <f t="shared" ca="1" si="35"/>
        <v/>
      </c>
      <c r="O173" s="29" t="str">
        <f t="shared" ca="1" si="36"/>
        <v/>
      </c>
      <c r="P173" s="30" t="str">
        <f t="shared" ca="1" si="33"/>
        <v/>
      </c>
    </row>
    <row r="174" spans="1:16" s="49" customFormat="1" ht="20.25" customHeight="1" x14ac:dyDescent="0.2">
      <c r="A174" s="48"/>
      <c r="B174" s="47">
        <f t="shared" ca="1" si="39"/>
        <v>51344</v>
      </c>
      <c r="C174" s="47">
        <f t="shared" ca="1" si="31"/>
        <v>46322</v>
      </c>
      <c r="D174" s="48">
        <f t="shared" si="40"/>
        <v>7</v>
      </c>
      <c r="E174" s="48">
        <f t="shared" si="30"/>
        <v>2040</v>
      </c>
      <c r="F174" s="24">
        <v>51318</v>
      </c>
      <c r="G174" s="28" t="e">
        <f t="shared" si="38"/>
        <v>#REF!</v>
      </c>
      <c r="H174" s="28" t="str">
        <f ca="1">IF(B174&gt;C174,"",SUMIFS(#REF!,#REF!,D174,#REF!,E174,#REF!,"SIM")-SUMIFS(#REF!,#REF!,D174,#REF!,E174,#REF!,"SIM",#REF!,"EXTERIOR"))</f>
        <v/>
      </c>
      <c r="I174" s="28" t="e">
        <f t="shared" si="41"/>
        <v>#REF!</v>
      </c>
      <c r="J174" s="28" t="str">
        <f ca="1">IF(B174&gt;C174,"",IF(B174&gt;C174,0,SUMIFS(#REF!,#REF!,"&lt;"&amp;DATE(E175,D175,1),#REF!,"sim",#REF!,"&lt;&gt;"&amp;"EXTERIOR")))</f>
        <v/>
      </c>
      <c r="K174" s="28" t="e">
        <f t="shared" si="42"/>
        <v>#REF!</v>
      </c>
      <c r="L174" s="28" t="str">
        <f ca="1">IF(B174&gt;C174,"",SUMIFS(#REF!,#REF!,D174,#REF!,E174,#REF!,"INVESTIMENTO",#REF!,"SIM"))</f>
        <v/>
      </c>
      <c r="M174" s="28" t="e">
        <f t="shared" ca="1" si="34"/>
        <v>#REF!</v>
      </c>
      <c r="N174" s="28" t="str">
        <f t="shared" ca="1" si="35"/>
        <v/>
      </c>
      <c r="O174" s="29" t="str">
        <f t="shared" ca="1" si="36"/>
        <v/>
      </c>
      <c r="P174" s="30" t="str">
        <f t="shared" ca="1" si="33"/>
        <v/>
      </c>
    </row>
    <row r="175" spans="1:16" s="49" customFormat="1" ht="20.25" customHeight="1" x14ac:dyDescent="0.2">
      <c r="A175" s="48"/>
      <c r="B175" s="47">
        <f t="shared" ca="1" si="39"/>
        <v>51375</v>
      </c>
      <c r="C175" s="47">
        <f t="shared" ca="1" si="31"/>
        <v>46322</v>
      </c>
      <c r="D175" s="48">
        <f t="shared" si="40"/>
        <v>8</v>
      </c>
      <c r="E175" s="48">
        <f t="shared" si="30"/>
        <v>2040</v>
      </c>
      <c r="F175" s="24">
        <v>51349</v>
      </c>
      <c r="G175" s="28" t="e">
        <f t="shared" si="38"/>
        <v>#REF!</v>
      </c>
      <c r="H175" s="28" t="str">
        <f ca="1">IF(B175&gt;C175,"",SUMIFS(#REF!,#REF!,D175,#REF!,E175,#REF!,"SIM")-SUMIFS(#REF!,#REF!,D175,#REF!,E175,#REF!,"SIM",#REF!,"EXTERIOR"))</f>
        <v/>
      </c>
      <c r="I175" s="28" t="e">
        <f t="shared" si="41"/>
        <v>#REF!</v>
      </c>
      <c r="J175" s="28" t="str">
        <f ca="1">IF(B175&gt;C175,"",IF(B175&gt;C175,0,SUMIFS(#REF!,#REF!,"&lt;"&amp;DATE(E176,D176,1),#REF!,"sim",#REF!,"&lt;&gt;"&amp;"EXTERIOR")))</f>
        <v/>
      </c>
      <c r="K175" s="28" t="e">
        <f t="shared" si="42"/>
        <v>#REF!</v>
      </c>
      <c r="L175" s="28" t="str">
        <f ca="1">IF(B175&gt;C175,"",SUMIFS(#REF!,#REF!,D175,#REF!,E175,#REF!,"INVESTIMENTO",#REF!,"SIM"))</f>
        <v/>
      </c>
      <c r="M175" s="28" t="e">
        <f t="shared" ca="1" si="34"/>
        <v>#REF!</v>
      </c>
      <c r="N175" s="28" t="str">
        <f t="shared" ca="1" si="35"/>
        <v/>
      </c>
      <c r="O175" s="29" t="str">
        <f t="shared" ca="1" si="36"/>
        <v/>
      </c>
      <c r="P175" s="30" t="str">
        <f t="shared" ca="1" si="33"/>
        <v/>
      </c>
    </row>
    <row r="176" spans="1:16" s="49" customFormat="1" ht="20.25" customHeight="1" x14ac:dyDescent="0.2">
      <c r="A176" s="48"/>
      <c r="B176" s="47">
        <f t="shared" ca="1" si="39"/>
        <v>51406</v>
      </c>
      <c r="C176" s="47">
        <f t="shared" ca="1" si="31"/>
        <v>46322</v>
      </c>
      <c r="D176" s="48">
        <f t="shared" si="40"/>
        <v>9</v>
      </c>
      <c r="E176" s="48">
        <f t="shared" si="30"/>
        <v>2040</v>
      </c>
      <c r="F176" s="24">
        <v>51380</v>
      </c>
      <c r="G176" s="28" t="e">
        <f t="shared" si="38"/>
        <v>#REF!</v>
      </c>
      <c r="H176" s="28" t="str">
        <f ca="1">IF(B176&gt;C176,"",SUMIFS(#REF!,#REF!,D176,#REF!,E176,#REF!,"SIM")-SUMIFS(#REF!,#REF!,D176,#REF!,E176,#REF!,"SIM",#REF!,"EXTERIOR"))</f>
        <v/>
      </c>
      <c r="I176" s="28" t="e">
        <f t="shared" si="41"/>
        <v>#REF!</v>
      </c>
      <c r="J176" s="28" t="str">
        <f ca="1">IF(B176&gt;C176,"",IF(B176&gt;C176,0,SUMIFS(#REF!,#REF!,"&lt;"&amp;DATE(E177,D177,1),#REF!,"sim",#REF!,"&lt;&gt;"&amp;"EXTERIOR")))</f>
        <v/>
      </c>
      <c r="K176" s="28" t="e">
        <f t="shared" si="42"/>
        <v>#REF!</v>
      </c>
      <c r="L176" s="28" t="str">
        <f ca="1">IF(B176&gt;C176,"",SUMIFS(#REF!,#REF!,D176,#REF!,E176,#REF!,"INVESTIMENTO",#REF!,"SIM"))</f>
        <v/>
      </c>
      <c r="M176" s="28" t="e">
        <f t="shared" ca="1" si="34"/>
        <v>#REF!</v>
      </c>
      <c r="N176" s="28" t="str">
        <f t="shared" ca="1" si="35"/>
        <v/>
      </c>
      <c r="O176" s="29" t="str">
        <f t="shared" ca="1" si="36"/>
        <v/>
      </c>
      <c r="P176" s="30" t="str">
        <f t="shared" ca="1" si="33"/>
        <v/>
      </c>
    </row>
    <row r="177" spans="1:16" s="49" customFormat="1" ht="20.25" customHeight="1" x14ac:dyDescent="0.2">
      <c r="A177" s="48"/>
      <c r="B177" s="47">
        <f t="shared" ca="1" si="39"/>
        <v>51436</v>
      </c>
      <c r="C177" s="47">
        <f t="shared" ca="1" si="31"/>
        <v>46322</v>
      </c>
      <c r="D177" s="48">
        <f t="shared" si="40"/>
        <v>10</v>
      </c>
      <c r="E177" s="48">
        <f t="shared" si="30"/>
        <v>2040</v>
      </c>
      <c r="F177" s="24">
        <v>51410</v>
      </c>
      <c r="G177" s="28" t="e">
        <f t="shared" si="38"/>
        <v>#REF!</v>
      </c>
      <c r="H177" s="28" t="str">
        <f ca="1">IF(B177&gt;C177,"",SUMIFS(#REF!,#REF!,D177,#REF!,E177,#REF!,"SIM")-SUMIFS(#REF!,#REF!,D177,#REF!,E177,#REF!,"SIM",#REF!,"EXTERIOR"))</f>
        <v/>
      </c>
      <c r="I177" s="28" t="e">
        <f t="shared" si="41"/>
        <v>#REF!</v>
      </c>
      <c r="J177" s="28" t="str">
        <f ca="1">IF(B177&gt;C177,"",IF(B177&gt;C177,0,SUMIFS(#REF!,#REF!,"&lt;"&amp;DATE(E178,D178,1),#REF!,"sim",#REF!,"&lt;&gt;"&amp;"EXTERIOR")))</f>
        <v/>
      </c>
      <c r="K177" s="28" t="e">
        <f t="shared" si="42"/>
        <v>#REF!</v>
      </c>
      <c r="L177" s="28" t="str">
        <f ca="1">IF(B177&gt;C177,"",SUMIFS(#REF!,#REF!,D177,#REF!,E177,#REF!,"INVESTIMENTO",#REF!,"SIM"))</f>
        <v/>
      </c>
      <c r="M177" s="28" t="e">
        <f t="shared" ca="1" si="34"/>
        <v>#REF!</v>
      </c>
      <c r="N177" s="28" t="str">
        <f t="shared" ca="1" si="35"/>
        <v/>
      </c>
      <c r="O177" s="29" t="str">
        <f t="shared" ca="1" si="36"/>
        <v/>
      </c>
      <c r="P177" s="30" t="str">
        <f t="shared" ca="1" si="33"/>
        <v/>
      </c>
    </row>
    <row r="178" spans="1:16" s="49" customFormat="1" ht="20.25" customHeight="1" x14ac:dyDescent="0.2">
      <c r="A178" s="48"/>
      <c r="B178" s="47">
        <f t="shared" ca="1" si="39"/>
        <v>51467</v>
      </c>
      <c r="C178" s="47">
        <f t="shared" ca="1" si="31"/>
        <v>46322</v>
      </c>
      <c r="D178" s="48">
        <f t="shared" si="40"/>
        <v>11</v>
      </c>
      <c r="E178" s="48">
        <f t="shared" si="30"/>
        <v>2040</v>
      </c>
      <c r="F178" s="24">
        <v>51441</v>
      </c>
      <c r="G178" s="28" t="e">
        <f t="shared" si="38"/>
        <v>#REF!</v>
      </c>
      <c r="H178" s="28" t="str">
        <f ca="1">IF(B178&gt;C178,"",SUMIFS(#REF!,#REF!,D178,#REF!,E178,#REF!,"SIM")-SUMIFS(#REF!,#REF!,D178,#REF!,E178,#REF!,"SIM",#REF!,"EXTERIOR"))</f>
        <v/>
      </c>
      <c r="I178" s="28" t="e">
        <f t="shared" si="41"/>
        <v>#REF!</v>
      </c>
      <c r="J178" s="28" t="str">
        <f ca="1">IF(B178&gt;C178,"",IF(B178&gt;C178,0,SUMIFS(#REF!,#REF!,"&lt;"&amp;DATE(E179,D179,1),#REF!,"sim",#REF!,"&lt;&gt;"&amp;"EXTERIOR")))</f>
        <v/>
      </c>
      <c r="K178" s="28" t="e">
        <f t="shared" si="42"/>
        <v>#REF!</v>
      </c>
      <c r="L178" s="28" t="str">
        <f ca="1">IF(B178&gt;C178,"",SUMIFS(#REF!,#REF!,D178,#REF!,E178,#REF!,"INVESTIMENTO",#REF!,"SIM"))</f>
        <v/>
      </c>
      <c r="M178" s="28" t="e">
        <f t="shared" ca="1" si="34"/>
        <v>#REF!</v>
      </c>
      <c r="N178" s="28" t="str">
        <f t="shared" ca="1" si="35"/>
        <v/>
      </c>
      <c r="O178" s="29" t="str">
        <f t="shared" ca="1" si="36"/>
        <v/>
      </c>
      <c r="P178" s="30" t="str">
        <f t="shared" ca="1" si="33"/>
        <v/>
      </c>
    </row>
    <row r="179" spans="1:16" s="49" customFormat="1" ht="20.25" customHeight="1" x14ac:dyDescent="0.2">
      <c r="A179" s="48"/>
      <c r="B179" s="47">
        <f t="shared" ca="1" si="39"/>
        <v>51497</v>
      </c>
      <c r="C179" s="47">
        <f t="shared" ca="1" si="31"/>
        <v>46322</v>
      </c>
      <c r="D179" s="48">
        <f t="shared" si="40"/>
        <v>12</v>
      </c>
      <c r="E179" s="48">
        <f t="shared" si="30"/>
        <v>2040</v>
      </c>
      <c r="F179" s="24">
        <v>51471</v>
      </c>
      <c r="G179" s="28" t="e">
        <f t="shared" si="38"/>
        <v>#REF!</v>
      </c>
      <c r="H179" s="28" t="str">
        <f ca="1">IF(B179&gt;C179,"",SUMIFS(#REF!,#REF!,D179,#REF!,E179,#REF!,"SIM")-SUMIFS(#REF!,#REF!,D179,#REF!,E179,#REF!,"SIM",#REF!,"EXTERIOR"))</f>
        <v/>
      </c>
      <c r="I179" s="28" t="e">
        <f t="shared" si="41"/>
        <v>#REF!</v>
      </c>
      <c r="J179" s="28" t="str">
        <f ca="1">IF(B179&gt;C179,"",IF(B179&gt;C179,0,SUMIFS(#REF!,#REF!,"&lt;"&amp;DATE(E180,D180,1),#REF!,"sim",#REF!,"&lt;&gt;"&amp;"EXTERIOR")))</f>
        <v/>
      </c>
      <c r="K179" s="28" t="e">
        <f t="shared" si="42"/>
        <v>#REF!</v>
      </c>
      <c r="L179" s="28" t="str">
        <f ca="1">IF(B179&gt;C179,"",SUMIFS(#REF!,#REF!,D179,#REF!,E179,#REF!,"INVESTIMENTO",#REF!,"SIM"))</f>
        <v/>
      </c>
      <c r="M179" s="28" t="e">
        <f t="shared" ca="1" si="34"/>
        <v>#REF!</v>
      </c>
      <c r="N179" s="28" t="str">
        <f t="shared" ca="1" si="35"/>
        <v/>
      </c>
      <c r="O179" s="29" t="str">
        <f t="shared" ca="1" si="36"/>
        <v/>
      </c>
      <c r="P179" s="30" t="str">
        <f t="shared" ca="1" si="33"/>
        <v/>
      </c>
    </row>
    <row r="180" spans="1:16" s="49" customFormat="1" ht="20.25" customHeight="1" x14ac:dyDescent="0.2">
      <c r="A180" s="48"/>
      <c r="B180" s="47">
        <f t="shared" ca="1" si="39"/>
        <v>51528</v>
      </c>
      <c r="C180" s="47">
        <f t="shared" ca="1" si="31"/>
        <v>46322</v>
      </c>
      <c r="D180" s="48">
        <f t="shared" si="40"/>
        <v>1</v>
      </c>
      <c r="E180" s="48">
        <f t="shared" si="30"/>
        <v>2041</v>
      </c>
      <c r="F180" s="24">
        <v>51502</v>
      </c>
      <c r="G180" s="28" t="e">
        <f t="shared" si="38"/>
        <v>#REF!</v>
      </c>
      <c r="H180" s="28" t="str">
        <f ca="1">IF(B180&gt;C180,"",SUMIFS(#REF!,#REF!,D180,#REF!,E180,#REF!,"SIM")-SUMIFS(#REF!,#REF!,D180,#REF!,E180,#REF!,"SIM",#REF!,"EXTERIOR"))</f>
        <v/>
      </c>
      <c r="I180" s="28" t="e">
        <f t="shared" si="41"/>
        <v>#REF!</v>
      </c>
      <c r="J180" s="28" t="str">
        <f ca="1">IF(B180&gt;C180,"",IF(B180&gt;C180,0,SUMIFS(#REF!,#REF!,"&lt;"&amp;DATE(E181,D181,1),#REF!,"sim",#REF!,"&lt;&gt;"&amp;"EXTERIOR")))</f>
        <v/>
      </c>
      <c r="K180" s="28" t="e">
        <f t="shared" si="42"/>
        <v>#REF!</v>
      </c>
      <c r="L180" s="28" t="str">
        <f ca="1">IF(B180&gt;C180,"",SUMIFS(#REF!,#REF!,D180,#REF!,E180,#REF!,"INVESTIMENTO",#REF!,"SIM"))</f>
        <v/>
      </c>
      <c r="M180" s="28" t="e">
        <f t="shared" ca="1" si="34"/>
        <v>#REF!</v>
      </c>
      <c r="N180" s="28" t="str">
        <f t="shared" ca="1" si="35"/>
        <v/>
      </c>
      <c r="O180" s="29" t="str">
        <f t="shared" ca="1" si="36"/>
        <v/>
      </c>
      <c r="P180" s="30" t="str">
        <f t="shared" ca="1" si="33"/>
        <v/>
      </c>
    </row>
    <row r="181" spans="1:16" s="49" customFormat="1" ht="20.25" customHeight="1" x14ac:dyDescent="0.2">
      <c r="A181" s="48"/>
      <c r="B181" s="47">
        <f t="shared" ca="1" si="39"/>
        <v>51559</v>
      </c>
      <c r="C181" s="47">
        <f t="shared" ca="1" si="31"/>
        <v>46322</v>
      </c>
      <c r="D181" s="48">
        <f t="shared" si="40"/>
        <v>2</v>
      </c>
      <c r="E181" s="48">
        <f t="shared" si="30"/>
        <v>2041</v>
      </c>
      <c r="F181" s="24">
        <v>51533</v>
      </c>
      <c r="G181" s="28" t="e">
        <f t="shared" si="38"/>
        <v>#REF!</v>
      </c>
      <c r="H181" s="28" t="str">
        <f ca="1">IF(B181&gt;C181,"",SUMIFS(#REF!,#REF!,D181,#REF!,E181,#REF!,"SIM")-SUMIFS(#REF!,#REF!,D181,#REF!,E181,#REF!,"SIM",#REF!,"EXTERIOR"))</f>
        <v/>
      </c>
      <c r="I181" s="28" t="e">
        <f t="shared" si="41"/>
        <v>#REF!</v>
      </c>
      <c r="J181" s="28" t="str">
        <f ca="1">IF(B181&gt;C181,"",IF(B181&gt;C181,0,SUMIFS(#REF!,#REF!,"&lt;"&amp;DATE(E182,D182,1),#REF!,"sim",#REF!,"&lt;&gt;"&amp;"EXTERIOR")))</f>
        <v/>
      </c>
      <c r="K181" s="28" t="e">
        <f t="shared" si="42"/>
        <v>#REF!</v>
      </c>
      <c r="L181" s="28" t="str">
        <f ca="1">IF(B181&gt;C181,"",SUMIFS(#REF!,#REF!,D181,#REF!,E181,#REF!,"INVESTIMENTO",#REF!,"SIM"))</f>
        <v/>
      </c>
      <c r="M181" s="28" t="e">
        <f t="shared" ca="1" si="34"/>
        <v>#REF!</v>
      </c>
      <c r="N181" s="28" t="str">
        <f t="shared" ca="1" si="35"/>
        <v/>
      </c>
      <c r="O181" s="29" t="str">
        <f t="shared" ca="1" si="36"/>
        <v/>
      </c>
      <c r="P181" s="30" t="str">
        <f t="shared" ca="1" si="33"/>
        <v/>
      </c>
    </row>
    <row r="182" spans="1:16" s="49" customFormat="1" ht="20.25" customHeight="1" x14ac:dyDescent="0.2">
      <c r="A182" s="48"/>
      <c r="B182" s="47">
        <f t="shared" ca="1" si="39"/>
        <v>51587</v>
      </c>
      <c r="C182" s="47">
        <f t="shared" ca="1" si="31"/>
        <v>46322</v>
      </c>
      <c r="D182" s="48">
        <f t="shared" si="40"/>
        <v>3</v>
      </c>
      <c r="E182" s="48">
        <f t="shared" si="30"/>
        <v>2041</v>
      </c>
      <c r="F182" s="24">
        <v>51561</v>
      </c>
      <c r="G182" s="28" t="e">
        <f t="shared" si="38"/>
        <v>#REF!</v>
      </c>
      <c r="H182" s="28" t="str">
        <f ca="1">IF(B182&gt;C182,"",SUMIFS(#REF!,#REF!,D182,#REF!,E182,#REF!,"SIM")-SUMIFS(#REF!,#REF!,D182,#REF!,E182,#REF!,"SIM",#REF!,"EXTERIOR"))</f>
        <v/>
      </c>
      <c r="I182" s="28" t="e">
        <f t="shared" si="41"/>
        <v>#REF!</v>
      </c>
      <c r="J182" s="28" t="str">
        <f ca="1">IF(B182&gt;C182,"",IF(B182&gt;C182,0,SUMIFS(#REF!,#REF!,"&lt;"&amp;DATE(E183,D183,1),#REF!,"sim",#REF!,"&lt;&gt;"&amp;"EXTERIOR")))</f>
        <v/>
      </c>
      <c r="K182" s="28" t="e">
        <f t="shared" si="42"/>
        <v>#REF!</v>
      </c>
      <c r="L182" s="28" t="str">
        <f ca="1">IF(B182&gt;C182,"",SUMIFS(#REF!,#REF!,D182,#REF!,E182,#REF!,"INVESTIMENTO",#REF!,"SIM"))</f>
        <v/>
      </c>
      <c r="M182" s="28" t="e">
        <f t="shared" ca="1" si="34"/>
        <v>#REF!</v>
      </c>
      <c r="N182" s="28" t="str">
        <f t="shared" ca="1" si="35"/>
        <v/>
      </c>
      <c r="O182" s="29" t="str">
        <f t="shared" ca="1" si="36"/>
        <v/>
      </c>
      <c r="P182" s="30" t="str">
        <f t="shared" ca="1" si="33"/>
        <v/>
      </c>
    </row>
    <row r="183" spans="1:16" s="49" customFormat="1" ht="20.25" customHeight="1" x14ac:dyDescent="0.2">
      <c r="A183" s="48"/>
      <c r="B183" s="47">
        <f t="shared" ca="1" si="39"/>
        <v>51618</v>
      </c>
      <c r="C183" s="47">
        <f t="shared" ca="1" si="31"/>
        <v>46322</v>
      </c>
      <c r="D183" s="48">
        <f t="shared" si="40"/>
        <v>4</v>
      </c>
      <c r="E183" s="48">
        <f t="shared" si="30"/>
        <v>2041</v>
      </c>
      <c r="F183" s="24">
        <v>51592</v>
      </c>
      <c r="G183" s="28" t="e">
        <f t="shared" si="38"/>
        <v>#REF!</v>
      </c>
      <c r="H183" s="28" t="str">
        <f ca="1">IF(B183&gt;C183,"",SUMIFS(#REF!,#REF!,D183,#REF!,E183,#REF!,"SIM")-SUMIFS(#REF!,#REF!,D183,#REF!,E183,#REF!,"SIM",#REF!,"EXTERIOR"))</f>
        <v/>
      </c>
      <c r="I183" s="28" t="e">
        <f t="shared" si="41"/>
        <v>#REF!</v>
      </c>
      <c r="J183" s="28" t="str">
        <f ca="1">IF(B183&gt;C183,"",IF(B183&gt;C183,0,SUMIFS(#REF!,#REF!,"&lt;"&amp;DATE(E184,D184,1),#REF!,"sim",#REF!,"&lt;&gt;"&amp;"EXTERIOR")))</f>
        <v/>
      </c>
      <c r="K183" s="28" t="e">
        <f t="shared" si="42"/>
        <v>#REF!</v>
      </c>
      <c r="L183" s="28" t="str">
        <f ca="1">IF(B183&gt;C183,"",SUMIFS(#REF!,#REF!,D183,#REF!,E183,#REF!,"INVESTIMENTO",#REF!,"SIM"))</f>
        <v/>
      </c>
      <c r="M183" s="28" t="e">
        <f t="shared" ca="1" si="34"/>
        <v>#REF!</v>
      </c>
      <c r="N183" s="28" t="str">
        <f t="shared" ca="1" si="35"/>
        <v/>
      </c>
      <c r="O183" s="29" t="str">
        <f t="shared" ca="1" si="36"/>
        <v/>
      </c>
      <c r="P183" s="30" t="str">
        <f t="shared" ca="1" si="33"/>
        <v/>
      </c>
    </row>
    <row r="184" spans="1:16" s="49" customFormat="1" ht="20.25" customHeight="1" x14ac:dyDescent="0.2">
      <c r="A184" s="48"/>
      <c r="B184" s="47">
        <f t="shared" ca="1" si="39"/>
        <v>51648</v>
      </c>
      <c r="C184" s="47">
        <f t="shared" ca="1" si="31"/>
        <v>46322</v>
      </c>
      <c r="D184" s="48">
        <f t="shared" si="40"/>
        <v>5</v>
      </c>
      <c r="E184" s="48">
        <f t="shared" si="30"/>
        <v>2041</v>
      </c>
      <c r="F184" s="24">
        <v>51622</v>
      </c>
      <c r="G184" s="28" t="e">
        <f t="shared" si="38"/>
        <v>#REF!</v>
      </c>
      <c r="H184" s="28" t="str">
        <f ca="1">IF(B184&gt;C184,"",SUMIFS(#REF!,#REF!,D184,#REF!,E184,#REF!,"SIM")-SUMIFS(#REF!,#REF!,D184,#REF!,E184,#REF!,"SIM",#REF!,"EXTERIOR"))</f>
        <v/>
      </c>
      <c r="I184" s="28" t="e">
        <f t="shared" si="41"/>
        <v>#REF!</v>
      </c>
      <c r="J184" s="28" t="str">
        <f ca="1">IF(B184&gt;C184,"",IF(B184&gt;C184,0,SUMIFS(#REF!,#REF!,"&lt;"&amp;DATE(E185,D185,1),#REF!,"sim",#REF!,"&lt;&gt;"&amp;"EXTERIOR")))</f>
        <v/>
      </c>
      <c r="K184" s="28" t="e">
        <f t="shared" si="42"/>
        <v>#REF!</v>
      </c>
      <c r="L184" s="28" t="str">
        <f ca="1">IF(B184&gt;C184,"",SUMIFS(#REF!,#REF!,D184,#REF!,E184,#REF!,"INVESTIMENTO",#REF!,"SIM"))</f>
        <v/>
      </c>
      <c r="M184" s="28" t="e">
        <f t="shared" ca="1" si="34"/>
        <v>#REF!</v>
      </c>
      <c r="N184" s="28" t="str">
        <f t="shared" ca="1" si="35"/>
        <v/>
      </c>
      <c r="O184" s="29" t="str">
        <f t="shared" ca="1" si="36"/>
        <v/>
      </c>
      <c r="P184" s="30" t="str">
        <f t="shared" ca="1" si="33"/>
        <v/>
      </c>
    </row>
    <row r="185" spans="1:16" s="49" customFormat="1" ht="20.25" customHeight="1" x14ac:dyDescent="0.2">
      <c r="A185" s="48"/>
      <c r="B185" s="47">
        <f t="shared" ca="1" si="39"/>
        <v>51679</v>
      </c>
      <c r="C185" s="47">
        <f t="shared" ca="1" si="31"/>
        <v>46322</v>
      </c>
      <c r="D185" s="48">
        <f t="shared" si="40"/>
        <v>6</v>
      </c>
      <c r="E185" s="48">
        <f t="shared" si="30"/>
        <v>2041</v>
      </c>
      <c r="F185" s="24">
        <v>51653</v>
      </c>
      <c r="G185" s="28" t="e">
        <f t="shared" si="38"/>
        <v>#REF!</v>
      </c>
      <c r="H185" s="28" t="str">
        <f ca="1">IF(B185&gt;C185,"",SUMIFS(#REF!,#REF!,D185,#REF!,E185,#REF!,"SIM")-SUMIFS(#REF!,#REF!,D185,#REF!,E185,#REF!,"SIM",#REF!,"EXTERIOR"))</f>
        <v/>
      </c>
      <c r="I185" s="28" t="e">
        <f t="shared" si="41"/>
        <v>#REF!</v>
      </c>
      <c r="J185" s="28" t="str">
        <f ca="1">IF(B185&gt;C185,"",IF(B185&gt;C185,0,SUMIFS(#REF!,#REF!,"&lt;"&amp;DATE(E186,D186,1),#REF!,"sim",#REF!,"&lt;&gt;"&amp;"EXTERIOR")))</f>
        <v/>
      </c>
      <c r="K185" s="28" t="e">
        <f t="shared" si="42"/>
        <v>#REF!</v>
      </c>
      <c r="L185" s="28" t="str">
        <f ca="1">IF(B185&gt;C185,"",SUMIFS(#REF!,#REF!,D185,#REF!,E185,#REF!,"INVESTIMENTO",#REF!,"SIM"))</f>
        <v/>
      </c>
      <c r="M185" s="28" t="e">
        <f t="shared" ca="1" si="34"/>
        <v>#REF!</v>
      </c>
      <c r="N185" s="28" t="str">
        <f t="shared" ca="1" si="35"/>
        <v/>
      </c>
      <c r="O185" s="29" t="str">
        <f t="shared" ca="1" si="36"/>
        <v/>
      </c>
      <c r="P185" s="30" t="str">
        <f t="shared" ca="1" si="33"/>
        <v/>
      </c>
    </row>
    <row r="186" spans="1:16" s="49" customFormat="1" ht="20.25" customHeight="1" x14ac:dyDescent="0.2">
      <c r="A186" s="48"/>
      <c r="B186" s="47">
        <f t="shared" ca="1" si="39"/>
        <v>51709</v>
      </c>
      <c r="C186" s="47">
        <f t="shared" ca="1" si="31"/>
        <v>46322</v>
      </c>
      <c r="D186" s="48">
        <f t="shared" si="40"/>
        <v>7</v>
      </c>
      <c r="E186" s="48">
        <f t="shared" si="30"/>
        <v>2041</v>
      </c>
      <c r="F186" s="24">
        <v>51683</v>
      </c>
      <c r="G186" s="28" t="e">
        <f t="shared" si="38"/>
        <v>#REF!</v>
      </c>
      <c r="H186" s="28" t="str">
        <f ca="1">IF(B186&gt;C186,"",SUMIFS(#REF!,#REF!,D186,#REF!,E186,#REF!,"SIM")-SUMIFS(#REF!,#REF!,D186,#REF!,E186,#REF!,"SIM",#REF!,"EXTERIOR"))</f>
        <v/>
      </c>
      <c r="I186" s="28" t="e">
        <f t="shared" si="41"/>
        <v>#REF!</v>
      </c>
      <c r="J186" s="28" t="str">
        <f ca="1">IF(B186&gt;C186,"",IF(B186&gt;C186,0,SUMIFS(#REF!,#REF!,"&lt;"&amp;DATE(E187,D187,1),#REF!,"sim",#REF!,"&lt;&gt;"&amp;"EXTERIOR")))</f>
        <v/>
      </c>
      <c r="K186" s="28" t="e">
        <f t="shared" si="42"/>
        <v>#REF!</v>
      </c>
      <c r="L186" s="28" t="str">
        <f ca="1">IF(B186&gt;C186,"",SUMIFS(#REF!,#REF!,D186,#REF!,E186,#REF!,"INVESTIMENTO",#REF!,"SIM"))</f>
        <v/>
      </c>
      <c r="M186" s="28" t="e">
        <f t="shared" ca="1" si="34"/>
        <v>#REF!</v>
      </c>
      <c r="N186" s="28" t="str">
        <f t="shared" ca="1" si="35"/>
        <v/>
      </c>
      <c r="O186" s="29" t="str">
        <f t="shared" ca="1" si="36"/>
        <v/>
      </c>
      <c r="P186" s="30" t="str">
        <f t="shared" ca="1" si="33"/>
        <v/>
      </c>
    </row>
  </sheetData>
  <mergeCells count="2">
    <mergeCell ref="I1:J1"/>
    <mergeCell ref="M1:N1"/>
  </mergeCells>
  <conditionalFormatting sqref="O4:O6">
    <cfRule type="cellIs" dxfId="5" priority="3" operator="greaterThan">
      <formula>0</formula>
    </cfRule>
    <cfRule type="cellIs" dxfId="4" priority="6" operator="lessThan">
      <formula>0</formula>
    </cfRule>
  </conditionalFormatting>
  <conditionalFormatting sqref="O3">
    <cfRule type="cellIs" dxfId="3" priority="4" operator="lessThan">
      <formula>0</formula>
    </cfRule>
    <cfRule type="cellIs" dxfId="2" priority="5" operator="greaterThan">
      <formula>0</formula>
    </cfRule>
  </conditionalFormatting>
  <conditionalFormatting sqref="M6">
    <cfRule type="cellIs" dxfId="1" priority="1" operator="greaterThan">
      <formula>0</formula>
    </cfRule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INFO AÇÕES</vt:lpstr>
      <vt:lpstr>Planilha1</vt:lpstr>
      <vt:lpstr>RESUMO</vt:lpstr>
      <vt:lpstr>planejamento financeiro</vt:lpstr>
      <vt:lpstr>Base de dados</vt:lpstr>
      <vt:lpstr>Previsão Investimento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Ribeiro | LOYALTYCOM</dc:creator>
  <cp:keywords/>
  <dc:description/>
  <cp:lastModifiedBy>Rodrigo Ribeiro | LOYALTYCOM</cp:lastModifiedBy>
  <cp:revision/>
  <cp:lastPrinted>2026-10-27T16:07:01Z</cp:lastPrinted>
  <dcterms:created xsi:type="dcterms:W3CDTF">2023-10-05T14:21:05Z</dcterms:created>
  <dcterms:modified xsi:type="dcterms:W3CDTF">2026-10-27T16:07:17Z</dcterms:modified>
  <cp:category/>
  <cp:contentStatus/>
</cp:coreProperties>
</file>